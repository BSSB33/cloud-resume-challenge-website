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326"/>
  <workbookPr defaultThemeVersion="123820"/>
  <mc:AlternateContent xmlns:mc="http://schemas.openxmlformats.org/markup-compatibility/2006">
    <mc:Choice Requires="x15">
      <x15ac:absPath xmlns:x15ac="http://schemas.microsoft.com/office/spreadsheetml/2010/11/ac" url="D:\Google Drive\ELTE\docs\"/>
    </mc:Choice>
  </mc:AlternateContent>
  <bookViews>
    <workbookView xWindow="0" yWindow="0" windowWidth="20490" windowHeight="7755" activeTab="3" xr2:uid="{00000000-000D-0000-FFFF-FFFF00000000}"/>
  </bookViews>
  <sheets>
    <sheet name="Ekvivalencia" sheetId="14" r:id="rId1"/>
    <sheet name="A" sheetId="1" r:id="rId2"/>
    <sheet name="B" sheetId="4" r:id="rId3"/>
    <sheet name="C" sheetId="5" r:id="rId4"/>
    <sheet name="E" sheetId="9" r:id="rId5"/>
    <sheet name="E (8 féléves)" sheetId="10" r:id="rId6"/>
  </sheets>
  <definedNames>
    <definedName name="_xlnm._FilterDatabase" localSheetId="2" hidden="1">B!$P$1:$P$64</definedName>
  </definedNames>
  <calcPr calcId="171027"/>
</workbook>
</file>

<file path=xl/calcChain.xml><?xml version="1.0" encoding="utf-8"?>
<calcChain xmlns="http://schemas.openxmlformats.org/spreadsheetml/2006/main">
  <c r="L30" i="1" l="1"/>
  <c r="J30" i="1"/>
  <c r="H30" i="1"/>
  <c r="F30" i="1"/>
  <c r="D30" i="1"/>
  <c r="B30" i="1"/>
  <c r="F27" i="5" l="1"/>
  <c r="F29" i="4"/>
  <c r="H29" i="4"/>
  <c r="J29" i="4"/>
  <c r="L29" i="4"/>
  <c r="D29" i="4"/>
  <c r="B29" i="4"/>
  <c r="L27" i="5" l="1"/>
  <c r="J27" i="5"/>
  <c r="H27" i="5"/>
  <c r="D27" i="5"/>
  <c r="B27" i="5"/>
  <c r="P26" i="10"/>
  <c r="N26" i="10"/>
  <c r="L26" i="10"/>
  <c r="J26" i="10"/>
  <c r="H26" i="10"/>
  <c r="F26" i="10"/>
  <c r="D26" i="10"/>
  <c r="B26" i="10"/>
  <c r="L26" i="9"/>
  <c r="J26" i="9"/>
  <c r="H26" i="9"/>
  <c r="F26" i="9"/>
  <c r="D26" i="9"/>
  <c r="B26" i="9"/>
</calcChain>
</file>

<file path=xl/sharedStrings.xml><?xml version="1.0" encoding="utf-8"?>
<sst xmlns="http://schemas.openxmlformats.org/spreadsheetml/2006/main" count="2108" uniqueCount="656">
  <si>
    <t>Előadás</t>
  </si>
  <si>
    <t>Vizsga</t>
  </si>
  <si>
    <t>Gyakorlat</t>
  </si>
  <si>
    <t>Konzultáció</t>
  </si>
  <si>
    <t>Kredit</t>
  </si>
  <si>
    <t>IP-08MATAG</t>
  </si>
  <si>
    <t>HFE</t>
  </si>
  <si>
    <t>-</t>
  </si>
  <si>
    <t>0+2 HFE</t>
  </si>
  <si>
    <t>IP-08aAN1E</t>
  </si>
  <si>
    <t>K</t>
  </si>
  <si>
    <t>2+0 K</t>
  </si>
  <si>
    <t>IP-08aAN1G</t>
  </si>
  <si>
    <t>GY</t>
  </si>
  <si>
    <t>0+2 GY</t>
  </si>
  <si>
    <t>IP-08aAN2E</t>
  </si>
  <si>
    <t>IP-08aAN2G</t>
  </si>
  <si>
    <t>IP-08aAN3E</t>
  </si>
  <si>
    <t>IP-08aAN3G</t>
  </si>
  <si>
    <t>IP-08aANA1E</t>
  </si>
  <si>
    <t>IP-08aANA1G</t>
  </si>
  <si>
    <t>IP-08aNM1E</t>
  </si>
  <si>
    <t>IP-08aNM2E</t>
  </si>
  <si>
    <t>IP-08aNM2G</t>
  </si>
  <si>
    <t>IP-08aNMALEG</t>
  </si>
  <si>
    <t>X</t>
  </si>
  <si>
    <t>1+2 X</t>
  </si>
  <si>
    <t>IP-08DM1E</t>
  </si>
  <si>
    <t>3+0 K</t>
  </si>
  <si>
    <t>IP-08DM1G</t>
  </si>
  <si>
    <t>0+3 GY</t>
  </si>
  <si>
    <t>IP-08aDM2E</t>
  </si>
  <si>
    <t>IP-08aDM2G</t>
  </si>
  <si>
    <t>IP-08LAE</t>
  </si>
  <si>
    <t>IP-08LAG</t>
  </si>
  <si>
    <t>IP-08aVSZE</t>
  </si>
  <si>
    <t>IP-08aVSZG</t>
  </si>
  <si>
    <t>IP-08aMSE</t>
  </si>
  <si>
    <t>1+2 GY</t>
  </si>
  <si>
    <t>IP-08aKARE</t>
  </si>
  <si>
    <t>IP-08aLSZEE</t>
  </si>
  <si>
    <t>IP-08aAA1E</t>
  </si>
  <si>
    <t>IP-08aAA1G</t>
  </si>
  <si>
    <t>IP-08aPROGEG</t>
  </si>
  <si>
    <t>IP-08aAA2E</t>
  </si>
  <si>
    <t>IP-08aAA2G</t>
  </si>
  <si>
    <t>IP-08aFNYE</t>
  </si>
  <si>
    <t>IP-08aFNYG</t>
  </si>
  <si>
    <t>IP-08aMIAE</t>
  </si>
  <si>
    <t>IP-08PAEG</t>
  </si>
  <si>
    <t>2+2 X</t>
  </si>
  <si>
    <t>IP-08SZGAEG</t>
  </si>
  <si>
    <t>2+4 X</t>
  </si>
  <si>
    <t>IP-08aPNY2EG</t>
  </si>
  <si>
    <t>IP-08aSZTE</t>
  </si>
  <si>
    <t>2+1 X</t>
  </si>
  <si>
    <t>IP-08aFPE</t>
  </si>
  <si>
    <t>IP-08aOEALKEG</t>
  </si>
  <si>
    <t>1+1 GY</t>
  </si>
  <si>
    <t>IP-08aSZHE</t>
  </si>
  <si>
    <t>IP-08aORE</t>
  </si>
  <si>
    <t>IP-08aAB1E</t>
  </si>
  <si>
    <t>IP-08aAB1G</t>
  </si>
  <si>
    <t>IP-08aAB2E</t>
  </si>
  <si>
    <t>IP-08aAB2G</t>
  </si>
  <si>
    <t>IP-08KGAE</t>
  </si>
  <si>
    <t>IP-08JMIE</t>
  </si>
  <si>
    <t>Összes óra/kredit a félévben</t>
  </si>
  <si>
    <t>25/27</t>
  </si>
  <si>
    <t>24/27</t>
  </si>
  <si>
    <t>23/26</t>
  </si>
  <si>
    <t>7/9</t>
  </si>
  <si>
    <t>Szakdolgozat ütemezése kreditértékkel</t>
  </si>
  <si>
    <t>Összes kredit a félévben</t>
  </si>
  <si>
    <t>Összes kredit:</t>
  </si>
  <si>
    <t>Szabadon választható tárgyak ütemezése kreditértékkel</t>
  </si>
  <si>
    <t>IP-08aOPREG (gyenge), IP-08aPNY1EG</t>
  </si>
  <si>
    <t>IP-08aAN2E, IP-08aDM2E</t>
  </si>
  <si>
    <t>IP-08SZGAEG, IP-08aPROGEG, IP-08aPNY1EG</t>
  </si>
  <si>
    <t>IP-08aAN1E, IP-08LAE</t>
  </si>
  <si>
    <t>IP-08aDM2E, IP-08aFNYE</t>
  </si>
  <si>
    <t>Fordítóprogramok</t>
  </si>
  <si>
    <t>Programozás</t>
  </si>
  <si>
    <t>Valószínűségszámítás</t>
  </si>
  <si>
    <t>IP-08aFNYG, IP-08aPNY1</t>
  </si>
  <si>
    <t>Ajánlott félév</t>
  </si>
  <si>
    <t>IP-08bAB1E</t>
  </si>
  <si>
    <t>IP-08bAB1G</t>
  </si>
  <si>
    <t>IP-08bAA1E</t>
  </si>
  <si>
    <t>IP-08bAB2E</t>
  </si>
  <si>
    <t>IP-08bAB2G</t>
  </si>
  <si>
    <t>IP-08bAA2E</t>
  </si>
  <si>
    <t>IP-08bAA1G</t>
  </si>
  <si>
    <t>IP-08bPROGEG</t>
  </si>
  <si>
    <t>IP-08bAA2G</t>
  </si>
  <si>
    <t>IP-08bAN1E</t>
  </si>
  <si>
    <t>IP-08bAN1G</t>
  </si>
  <si>
    <t>IP-08bAN2E</t>
  </si>
  <si>
    <t>IP-08bAN2G</t>
  </si>
  <si>
    <t>IP-08bAN3EG</t>
  </si>
  <si>
    <t>IP-08bAN2e</t>
  </si>
  <si>
    <t>IP-08bDM2E</t>
  </si>
  <si>
    <t>IP-08bDM2G</t>
  </si>
  <si>
    <t>IP-08bEVALK1EG</t>
  </si>
  <si>
    <t>IP-08bOEALKEG</t>
  </si>
  <si>
    <t>IP-08bEVALK2EG</t>
  </si>
  <si>
    <t>IP-08bFPE</t>
  </si>
  <si>
    <t>IP-08bFNYG, IP-08bPNY1</t>
  </si>
  <si>
    <t>IP-08bFNYE</t>
  </si>
  <si>
    <t>IP-08bFNYG</t>
  </si>
  <si>
    <t>IP-08DM1e</t>
  </si>
  <si>
    <t>IP-08bFUNPEG</t>
  </si>
  <si>
    <t>IP-08bLSZEE</t>
  </si>
  <si>
    <t>IP-08bDM2E, IP-08bFNYE</t>
  </si>
  <si>
    <t>IP-08bMIAE</t>
  </si>
  <si>
    <t>IP-08bMODALEG</t>
  </si>
  <si>
    <t>IP-08bNM1E</t>
  </si>
  <si>
    <t>IP-08bAN1E, IP-08LAE</t>
  </si>
  <si>
    <t>IP-08bNM2EG</t>
  </si>
  <si>
    <t>IP-08bPROGEG, IP-08bPNY1EG</t>
  </si>
  <si>
    <t>IP-08bPMA1E</t>
  </si>
  <si>
    <t>IP-08PAEG, IP-08DM1E</t>
  </si>
  <si>
    <t>IP-08bPMA2E</t>
  </si>
  <si>
    <t>IP-08bPMA2G</t>
  </si>
  <si>
    <t>0+1 GY</t>
  </si>
  <si>
    <t>IP-08bPNY2EG</t>
  </si>
  <si>
    <t>IP-08bPNY1EG</t>
  </si>
  <si>
    <t>IP-08bSZHE</t>
  </si>
  <si>
    <t>IP-08bOPREG (gyenge), IP-08bPNY1EG</t>
  </si>
  <si>
    <t>IP-08bSZTE</t>
  </si>
  <si>
    <t>IP-08bVSZE</t>
  </si>
  <si>
    <t>IP-08bVSZG</t>
  </si>
  <si>
    <t>IP-08bWAFEG</t>
  </si>
  <si>
    <t>25/29</t>
  </si>
  <si>
    <t>24/28</t>
  </si>
  <si>
    <t>8/10</t>
  </si>
  <si>
    <t>IP-08cAB1E</t>
  </si>
  <si>
    <t>IP-08cAB1G</t>
  </si>
  <si>
    <t>IP-08cAA1E</t>
  </si>
  <si>
    <t>IP-08cAB2E</t>
  </si>
  <si>
    <t>IP-08cAB2G</t>
  </si>
  <si>
    <t>IP-08cAA2E</t>
  </si>
  <si>
    <t>IP-08cAA1G</t>
  </si>
  <si>
    <t>IP-08cPROGEF</t>
  </si>
  <si>
    <t>IP-08cAA2G</t>
  </si>
  <si>
    <t>IP-08cALKG</t>
  </si>
  <si>
    <t>IP-08cPROGT2EG</t>
  </si>
  <si>
    <t>IP-08cAN1E</t>
  </si>
  <si>
    <t>IP-08cAN1G</t>
  </si>
  <si>
    <t>IP-08cAN2E</t>
  </si>
  <si>
    <t>IP-08cAN2G</t>
  </si>
  <si>
    <t>IP-08cAN3EG</t>
  </si>
  <si>
    <t>IP-08cDM2E</t>
  </si>
  <si>
    <t>IP-08cDM2G</t>
  </si>
  <si>
    <t>IP-08cFPE</t>
  </si>
  <si>
    <t>IP-08cFNYG, IP-08cPNY1EG</t>
  </si>
  <si>
    <t>IP-08cFNYE</t>
  </si>
  <si>
    <t>IP-08cFNYG</t>
  </si>
  <si>
    <t>IP-08cLSZEE</t>
  </si>
  <si>
    <t>IP-08cDM2E, IP-08cFNYE</t>
  </si>
  <si>
    <t>IP-08cMIAE</t>
  </si>
  <si>
    <t>IP-08cMODALG</t>
  </si>
  <si>
    <t>IP-08cNM1E</t>
  </si>
  <si>
    <t>IP-08cAN1E, IP-08LAE</t>
  </si>
  <si>
    <t>IP-08cNM2G_14</t>
  </si>
  <si>
    <t>IP-08SZGAEG, IP-08cPROGEG, IP-08cPNY1EG</t>
  </si>
  <si>
    <t>IP-08cORE</t>
  </si>
  <si>
    <t>IP-08cORG</t>
  </si>
  <si>
    <t>IP-08cPNY2EG</t>
  </si>
  <si>
    <t>IP-08cPROGEG</t>
  </si>
  <si>
    <t>IP-08cPNY1EG</t>
  </si>
  <si>
    <t>IP-08cPROGT1EG</t>
  </si>
  <si>
    <t>3+2 X</t>
  </si>
  <si>
    <t>IP-08cPROGEG, IP-08cPNY1EG</t>
  </si>
  <si>
    <t>IP-08cSCNYE</t>
  </si>
  <si>
    <t>2+0 X</t>
  </si>
  <si>
    <t>IP-08cOPREG (gyenge), IP-08cPNY1EG</t>
  </si>
  <si>
    <t>IP-08cSZHG</t>
  </si>
  <si>
    <t>IP-08cVSZE</t>
  </si>
  <si>
    <t>IP-08cVSZG</t>
  </si>
  <si>
    <t>22/25</t>
  </si>
  <si>
    <t>23/28</t>
  </si>
  <si>
    <t>Kód</t>
  </si>
  <si>
    <t>Tanegység</t>
  </si>
  <si>
    <t>Gyak. jegy.</t>
  </si>
  <si>
    <t>Előfeltétel</t>
  </si>
  <si>
    <t>1. félév</t>
  </si>
  <si>
    <t>2. félév</t>
  </si>
  <si>
    <t>3. félév</t>
  </si>
  <si>
    <t>4. félév</t>
  </si>
  <si>
    <t>5. félév</t>
  </si>
  <si>
    <t>6. félév</t>
  </si>
  <si>
    <t>IP-08cLSZEG</t>
  </si>
  <si>
    <t>IP-08cNM1G</t>
  </si>
  <si>
    <t>IP-08cSZGE</t>
  </si>
  <si>
    <t>IP-08cSZGG</t>
  </si>
  <si>
    <t>IP-08cFPG</t>
  </si>
  <si>
    <t>IP-08cOPREG</t>
  </si>
  <si>
    <t>IP-08cSZHE</t>
  </si>
  <si>
    <t>IP-08cPRJG</t>
  </si>
  <si>
    <t>IP-08aPNY1EG</t>
  </si>
  <si>
    <t>IP-08aPROGEG (gyenge)</t>
  </si>
  <si>
    <t>IP-08aLSZEG</t>
  </si>
  <si>
    <t>IP-08aNM1G</t>
  </si>
  <si>
    <t>IP-08aKARG</t>
  </si>
  <si>
    <t>IP-08aOPREG</t>
  </si>
  <si>
    <t>IP-08aSZGG</t>
  </si>
  <si>
    <t>IP-08aSZGE</t>
  </si>
  <si>
    <t>IP-08aFPG</t>
  </si>
  <si>
    <t>IP-08aSZHG</t>
  </si>
  <si>
    <t>IP-08bPMA1G</t>
  </si>
  <si>
    <t>IP-08bNM1G</t>
  </si>
  <si>
    <t>IP-08bLSZEG</t>
  </si>
  <si>
    <t>IP-08bOPREG</t>
  </si>
  <si>
    <t>IP-08SZGAEG, IP-08bPROGEG, IP-08bPNY1EG</t>
  </si>
  <si>
    <t>IP-08bORSIE</t>
  </si>
  <si>
    <t>IP-08bORSIG</t>
  </si>
  <si>
    <t>IP-08bSZHG</t>
  </si>
  <si>
    <t>IP-08bFPG</t>
  </si>
  <si>
    <t>matalap GY1-NK</t>
  </si>
  <si>
    <t>linalg GY2-K</t>
  </si>
  <si>
    <t>linalg EA2-K</t>
  </si>
  <si>
    <t>dimat1 GY3-K</t>
  </si>
  <si>
    <t>dimat1 EA4-K</t>
  </si>
  <si>
    <t>anal1 GY2-K</t>
  </si>
  <si>
    <t>anal1 EA3-K</t>
  </si>
  <si>
    <t>dimat2 EA3-K</t>
  </si>
  <si>
    <t>fonya GY2-K</t>
  </si>
  <si>
    <t>fonya EA2-K</t>
  </si>
  <si>
    <t>anal2 GY2-K</t>
  </si>
  <si>
    <t>anal2 EA3-K</t>
  </si>
  <si>
    <t>nummód1 GY2-K</t>
  </si>
  <si>
    <t>nummód1 EA3-K</t>
  </si>
  <si>
    <t>anal3 X4-K</t>
  </si>
  <si>
    <t>nummód2 GY4-K</t>
  </si>
  <si>
    <t>modalg GY3-K</t>
  </si>
  <si>
    <t>logszám GY2-K</t>
  </si>
  <si>
    <t>logszám EA2-K</t>
  </si>
  <si>
    <t>progalap X5-K</t>
  </si>
  <si>
    <t>számalap X5-K</t>
  </si>
  <si>
    <t>jog EA2-K</t>
  </si>
  <si>
    <t>közgáz EA3-K</t>
  </si>
  <si>
    <t>prog X7-NK</t>
  </si>
  <si>
    <t>valszámstat EA2-VK</t>
  </si>
  <si>
    <t>valszámstat GY2-NK</t>
  </si>
  <si>
    <t>script EA3-NK</t>
  </si>
  <si>
    <t>dimat2 GY3-K</t>
  </si>
  <si>
    <t>algo1 EA2-NK</t>
  </si>
  <si>
    <t>algo1 GY3-NK</t>
  </si>
  <si>
    <t>progtech1 X6-NK</t>
  </si>
  <si>
    <t>java X5-K</t>
  </si>
  <si>
    <t>számgraf (c++ gyenge) GY2-K</t>
  </si>
  <si>
    <t>számgraf EA3-K</t>
  </si>
  <si>
    <t>adatb1 GY2-K</t>
  </si>
  <si>
    <t>adatb1 EA3-K</t>
  </si>
  <si>
    <t>c++ X5-K</t>
  </si>
  <si>
    <t>7. félév</t>
  </si>
  <si>
    <t>mi EA3-VK</t>
  </si>
  <si>
    <t>or EA3-VK</t>
  </si>
  <si>
    <t>or GY2-K</t>
  </si>
  <si>
    <t>fordprog (c++ erős) GY2-K</t>
  </si>
  <si>
    <t>adatb2 GY2-K</t>
  </si>
  <si>
    <t>adatb2 EA3-K</t>
  </si>
  <si>
    <t>számhálók (opre gyenge) GY2-K</t>
  </si>
  <si>
    <t>opre X4-K</t>
  </si>
  <si>
    <t>projeszk GY2-NK</t>
  </si>
  <si>
    <t>fordprog EA3-K</t>
  </si>
  <si>
    <t>számhálók EA3-K</t>
  </si>
  <si>
    <t>progtech2 X4-NK</t>
  </si>
  <si>
    <t>algo2 GY2-NK</t>
  </si>
  <si>
    <t>algo2 EA3-NK</t>
  </si>
  <si>
    <t>alkfejl GY2-NK</t>
  </si>
  <si>
    <t>Programtervező informatikus BSc, Szoftveralkalmazó informatikus esti (E) szakirány, 2008</t>
  </si>
  <si>
    <t>http://www.inf.elte.hu/hallgatok/bscszakmaigyak/Lapok/default.aspx</t>
  </si>
  <si>
    <t>* Szakdolgozati konzultáció: Bővebb információ:</t>
  </si>
  <si>
    <t>http://www.inf.elte.hu/karunkrol/szervezet/dekanihivatal/to/hirek/Lapok/Aszakdolgozatdiplomakonzult%C3%A1ci%C3%B3rendje.aspx</t>
  </si>
  <si>
    <t>IP-08eAN1E</t>
  </si>
  <si>
    <t>IP-08eAN1G</t>
  </si>
  <si>
    <t>IP-08eAN2E</t>
  </si>
  <si>
    <t>IP-08eAN2G</t>
  </si>
  <si>
    <t>IP-08eAN3EG</t>
  </si>
  <si>
    <t>IP-08eNM1E</t>
  </si>
  <si>
    <t>IP-08eNM2G</t>
  </si>
  <si>
    <t>IP-08eMODALG</t>
  </si>
  <si>
    <t>IP-08eDM1E</t>
  </si>
  <si>
    <t>IP-08eDM1G</t>
  </si>
  <si>
    <t>IP-08eDM2E</t>
  </si>
  <si>
    <t>IP-08eDM2G</t>
  </si>
  <si>
    <t>IP-08eDM3E</t>
  </si>
  <si>
    <t>IP-08eLAE</t>
  </si>
  <si>
    <t>IP-08eLAG</t>
  </si>
  <si>
    <t>IP-08eVSZE</t>
  </si>
  <si>
    <t>IP-08eVSZG</t>
  </si>
  <si>
    <t>IP-08eLSZEE</t>
  </si>
  <si>
    <t>IP-08eAA1E</t>
  </si>
  <si>
    <t>IP-08eAA2E</t>
  </si>
  <si>
    <t>IP-08eFNYE</t>
  </si>
  <si>
    <t>IP-08eFNYG</t>
  </si>
  <si>
    <t>IP-08eMIAE</t>
  </si>
  <si>
    <t>IP-08ePAEG</t>
  </si>
  <si>
    <t>IP-08eSZGAEG</t>
  </si>
  <si>
    <t>1+1 X</t>
  </si>
  <si>
    <t>IP-08ePROGEG</t>
  </si>
  <si>
    <t>IP-08ePNY1EG</t>
  </si>
  <si>
    <t>IP-08eSZHE</t>
  </si>
  <si>
    <t>IP-08eORE</t>
  </si>
  <si>
    <t>IP-08eAB1E</t>
  </si>
  <si>
    <t>IP-08eAB1G</t>
  </si>
  <si>
    <t>IP-08eAB2E</t>
  </si>
  <si>
    <t>IP-08eSZGG</t>
  </si>
  <si>
    <t>IP-08eSZDPIBN08</t>
  </si>
  <si>
    <t>Szakdolgozati konzultáció *</t>
  </si>
  <si>
    <t>12/24</t>
  </si>
  <si>
    <t>14/25</t>
  </si>
  <si>
    <t>17/25</t>
  </si>
  <si>
    <t>17/26</t>
  </si>
  <si>
    <t>16/25</t>
  </si>
  <si>
    <t>IP-08eAA2G</t>
  </si>
  <si>
    <t>IP-08eAA2</t>
  </si>
  <si>
    <t>Analízis 1</t>
  </si>
  <si>
    <t>Analízis 2</t>
  </si>
  <si>
    <t>Analízis 3</t>
  </si>
  <si>
    <t>Algoritmusok és adatszerkezetek 1</t>
  </si>
  <si>
    <t>Numerikus módszerek 1</t>
  </si>
  <si>
    <t>Numerikus módszerek 2</t>
  </si>
  <si>
    <t>Modellek és algoritmusok</t>
  </si>
  <si>
    <t>Diszkrét matematika 1</t>
  </si>
  <si>
    <t>Diszkrét matematika 2</t>
  </si>
  <si>
    <t>Diszkrét matematika 3</t>
  </si>
  <si>
    <t>Lineáris algebra</t>
  </si>
  <si>
    <t>Valószínűségszámítás  és statisztika</t>
  </si>
  <si>
    <t>Logika és számításelmélet</t>
  </si>
  <si>
    <t>Algoritmusok és adatszerkezetek 2</t>
  </si>
  <si>
    <t>Formális nyelvek és automaták</t>
  </si>
  <si>
    <t>Mesterséges intelligencia</t>
  </si>
  <si>
    <t>Programozási alapismeretek</t>
  </si>
  <si>
    <t>Számítógépes alapismeretek</t>
  </si>
  <si>
    <t>Programozási nyelvek C++</t>
  </si>
  <si>
    <t>Programozási nyelvek JAVA</t>
  </si>
  <si>
    <t>Programozási technológia 1</t>
  </si>
  <si>
    <t>Programozási technológia 2</t>
  </si>
  <si>
    <t>Operációs rendszerek</t>
  </si>
  <si>
    <t>Számítógépes hálózatok</t>
  </si>
  <si>
    <t>Osztott rendszerek</t>
  </si>
  <si>
    <t>Adatbázisok 1</t>
  </si>
  <si>
    <t>Adatbázisok 2</t>
  </si>
  <si>
    <t>Számítógépes grafika</t>
  </si>
  <si>
    <t>Közgazdasági és jogi ismeretek</t>
  </si>
  <si>
    <t>Webes alkalmazások fejlesztése</t>
  </si>
  <si>
    <t>Projekt eszközök</t>
  </si>
  <si>
    <t>IP-08eAA1G</t>
  </si>
  <si>
    <t>IP-08ePNY2EG</t>
  </si>
  <si>
    <t>IP-08eFPE</t>
  </si>
  <si>
    <t>IP-08eFNYG, IP-08ePNY1EG</t>
  </si>
  <si>
    <t>IP-08eLSZEG</t>
  </si>
  <si>
    <t>IP-08eDM2E, IP-08eFNYE</t>
  </si>
  <si>
    <t>IP-08ePROGT1EG</t>
  </si>
  <si>
    <t>IP-08eNM1G</t>
  </si>
  <si>
    <t>IP-08eAN1E, IP-08eLAE</t>
  </si>
  <si>
    <t>IP-08eOPREG</t>
  </si>
  <si>
    <t>IP-08eSZGA, IP-08ePROG, IP-08ePNY1</t>
  </si>
  <si>
    <t>IP-08ePROGT2EG</t>
  </si>
  <si>
    <t>IP-08ePROGT1</t>
  </si>
  <si>
    <t>IP-08eORG</t>
  </si>
  <si>
    <t>IP-08ePROG, IP-08ePNY2EG</t>
  </si>
  <si>
    <t>IP-08ePRJG</t>
  </si>
  <si>
    <t>IP- 08ePROGT2E</t>
  </si>
  <si>
    <t>IP-08eSZGE</t>
  </si>
  <si>
    <t>1+0 K</t>
  </si>
  <si>
    <t>IP-08eSZHG</t>
  </si>
  <si>
    <t>IP-08eWAFEG</t>
  </si>
  <si>
    <t>IP-08ePROG, IP-08ePNY1</t>
  </si>
  <si>
    <t>Szabadon választható tárgyak ütemezése kreditértékkel*</t>
  </si>
  <si>
    <t>1,2,3</t>
  </si>
  <si>
    <t>*Megjegyzés:</t>
  </si>
  <si>
    <t>Szabadon választható tárgyak listája megtalálható a Kari honlapon, illetve az alábbi három is választható.</t>
  </si>
  <si>
    <t>A 15/2006. (IV. 3.) OM rendelet 2. számú mellékletének megfelelően legalább 8 hetes (320 munkaóra) kötelező szakmai gyakorlaton kell részt venniük. Kredit értéke nincs.</t>
  </si>
  <si>
    <t>Kötelező szakmai gyakorlat, melynek teljesítése az abszolutórium feltétele!</t>
  </si>
  <si>
    <t>2008-2013. között felvetteknek:</t>
  </si>
  <si>
    <t>A 289/2005. (XII. 22.) Korm. rendelet 1. számú mellékletének megfelelően összefüggő 6 hetes (240 munkaóra) kötelező szakmai gyakorlaton kell részt venniük. Kredit értéke nincs.</t>
  </si>
  <si>
    <t>2014-ben vagy utána felvetteknek:</t>
  </si>
  <si>
    <t>További részletek:</t>
  </si>
  <si>
    <t>IP-08 LA, IP-08ePNY1, a tárgy a IP-08eSZGE nélkül is felvehető</t>
  </si>
  <si>
    <t>IP-08eLA, a tárgy a IP-08eSZGG nélkül is felvehető</t>
  </si>
  <si>
    <t>IP-08eOPR (gyenge), IP-08ePNY1</t>
  </si>
  <si>
    <t>8. félév</t>
  </si>
  <si>
    <t>IP-08eAN1</t>
  </si>
  <si>
    <t>IP-08eAN2</t>
  </si>
  <si>
    <t>IP-08eAN1, IP-08eLA</t>
  </si>
  <si>
    <t>IP-08eNM1</t>
  </si>
  <si>
    <t>IP-08eAN3</t>
  </si>
  <si>
    <t>IP-08eDM1</t>
  </si>
  <si>
    <t>IP-08eDM2</t>
  </si>
  <si>
    <t>IP-08eDM2, IP-08eFNY</t>
  </si>
  <si>
    <t>IP-08ePROG</t>
  </si>
  <si>
    <t>IP-08eAA1</t>
  </si>
  <si>
    <t>IP-08ePA</t>
  </si>
  <si>
    <t>IP-08EPROG, IP-08EPNY1</t>
  </si>
  <si>
    <t>IP-08eAB1</t>
  </si>
  <si>
    <t>IP-08ePROGT2E</t>
  </si>
  <si>
    <t>12/22</t>
  </si>
  <si>
    <t>13/19</t>
  </si>
  <si>
    <t>12/18</t>
  </si>
  <si>
    <t>12/19</t>
  </si>
  <si>
    <t>10/15</t>
  </si>
  <si>
    <t>10/16</t>
  </si>
  <si>
    <t>6,7,8</t>
  </si>
  <si>
    <t>IP-08eFNY (gyenge), IP-08ePNY1 (gyenge)</t>
  </si>
  <si>
    <t>IP-08eLA, IP-08ePNY1, a tárgy a IP-08eSZGE nélkül is felvehető</t>
  </si>
  <si>
    <t>Mesterséges intelligencia alapjai</t>
  </si>
  <si>
    <t>linalg EA3-K</t>
  </si>
  <si>
    <t>linalg GY3-NK</t>
  </si>
  <si>
    <t>dimat1 GY3-NK</t>
  </si>
  <si>
    <t>dimat1 EA3-NK</t>
  </si>
  <si>
    <t>progalap X7-NK</t>
  </si>
  <si>
    <t>anal2 GY2-NK</t>
  </si>
  <si>
    <t>anal2 EA3-NK</t>
  </si>
  <si>
    <t>fonya GY2-NK</t>
  </si>
  <si>
    <t>fonya EA2-NK</t>
  </si>
  <si>
    <t>algo1 EA3-NK</t>
  </si>
  <si>
    <t>java X6-NK</t>
  </si>
  <si>
    <t>modalg GY3-NK</t>
  </si>
  <si>
    <t>nummód1 GY2-NK</t>
  </si>
  <si>
    <t>nummód1 EA3-NK</t>
  </si>
  <si>
    <t>mi EA3-NK</t>
  </si>
  <si>
    <t>adatb1 GY3-NK</t>
  </si>
  <si>
    <t>adatb1 EA3-NK</t>
  </si>
  <si>
    <t>progtech2 X5-NK</t>
  </si>
  <si>
    <t>anal1 GY3-NK</t>
  </si>
  <si>
    <t>anal1 EA3-NK</t>
  </si>
  <si>
    <t>számalap X5-NK</t>
  </si>
  <si>
    <t>dimat2 GY3-NK</t>
  </si>
  <si>
    <t>dimat2 EA3-NK</t>
  </si>
  <si>
    <t>prog X10-NK</t>
  </si>
  <si>
    <t>közgáz jog EA3-NK</t>
  </si>
  <si>
    <t>anal3 X4-NK</t>
  </si>
  <si>
    <t>logszám GY2-NK</t>
  </si>
  <si>
    <t>logszám EA3-NK</t>
  </si>
  <si>
    <t>algo2 EA4-NK</t>
  </si>
  <si>
    <t>progtech1 X5-NK</t>
  </si>
  <si>
    <t>c++ X5-NK</t>
  </si>
  <si>
    <t>valszámstat EA3-NK</t>
  </si>
  <si>
    <t>nummód2 GY3-NK</t>
  </si>
  <si>
    <t>számgraf (c++ erős) GY2-NK</t>
  </si>
  <si>
    <t>számgraf EA2-NK</t>
  </si>
  <si>
    <t>adatb2 EA3-NK</t>
  </si>
  <si>
    <t>projeszk GY3-NK</t>
  </si>
  <si>
    <t>or GY2-NK</t>
  </si>
  <si>
    <t>or EA3-NK</t>
  </si>
  <si>
    <t>waf X3-NK</t>
  </si>
  <si>
    <t>számhálók EA3-NK</t>
  </si>
  <si>
    <t>számhálók (opre gyenge) GY2-NK</t>
  </si>
  <si>
    <t>dimat3 EA4-VK</t>
  </si>
  <si>
    <t>fordprog (c++ erős) EA3-VK</t>
  </si>
  <si>
    <t>Valószínűségszámítás és statisztika</t>
  </si>
  <si>
    <t>Programcsomagok numerikus módszerekben</t>
  </si>
  <si>
    <t>Jelmagyarázat:</t>
  </si>
  <si>
    <t>K - van keresztfélév</t>
  </si>
  <si>
    <t>NK - nincs keresztfélév</t>
  </si>
  <si>
    <t>GY2 - 2 kredites gyakorlat</t>
  </si>
  <si>
    <t>EA3 - 3 kredites előadás</t>
  </si>
  <si>
    <t>VK - vizsgakurzus van keresztfélévben</t>
  </si>
  <si>
    <t>Megjegyzés:</t>
  </si>
  <si>
    <t>(erős) - a zárójelben lévő tárgy erős előfeltétel (el kell végezni legalább egy félévvel korábban)</t>
  </si>
  <si>
    <t>(gyenge) - a zárójelben lévő tárgy gyenge előfeltétel (előtte vagy azonos félévben kell elvégezni)</t>
  </si>
  <si>
    <t>X5 - 5 kredites X-es tárgy (előadás és gyakorlat)</t>
  </si>
  <si>
    <t>Programtervező informatikus BSc, Szoftveralkalmazó informatikus (C) szakirány, 2008</t>
  </si>
  <si>
    <t>IP-15TMKG</t>
  </si>
  <si>
    <t>KF</t>
  </si>
  <si>
    <t>45+0 KF</t>
  </si>
  <si>
    <t>Jogi és menedzsment ismeretek</t>
  </si>
  <si>
    <t>Közgazdasági alapismeretek</t>
  </si>
  <si>
    <t>Matematikai alapozás</t>
  </si>
  <si>
    <t>Script nyelvek</t>
  </si>
  <si>
    <t>IP-08LA, a tárgy a IP-08cSZGG nélkül is felvehető</t>
  </si>
  <si>
    <t>IP-08LA, IP-08cPNY1 (gyenge), a tárgy a IP-08cSZGE nélkül is felvehető</t>
  </si>
  <si>
    <t>Alkalmazások fejlesztése</t>
  </si>
  <si>
    <t>IP-08SZDPIBN08</t>
  </si>
  <si>
    <t>Szakdolgozati konzultáció **</t>
  </si>
  <si>
    <t>24/32</t>
  </si>
  <si>
    <t>2,3,5</t>
  </si>
  <si>
    <t>** Szakdolgozati konzultáció: Bővebb információ:</t>
  </si>
  <si>
    <t>Programtervező informatikus BSc, Szoftverfejlesztő informatikus (B) szakirány, 2008</t>
  </si>
  <si>
    <t>Funkcionális programozás</t>
  </si>
  <si>
    <t>Programozás módszertani alapjai 1</t>
  </si>
  <si>
    <t>Objektum elvű alkalmazások fejlesztése</t>
  </si>
  <si>
    <t>Programozás módszertani alapjai 2</t>
  </si>
  <si>
    <t>Szoftver technológia</t>
  </si>
  <si>
    <t>Eseményvezérelt alkalmazások fejlesztése 1</t>
  </si>
  <si>
    <t>Programozási nyelvek ADA</t>
  </si>
  <si>
    <t>Eseményvezérelt alkalmazások fejlesztése 2</t>
  </si>
  <si>
    <t>Osztott rendszerek specifikációja és implementációja</t>
  </si>
  <si>
    <t>24/29</t>
  </si>
  <si>
    <t>Programtervező informatikus BSc, Modellalkotó informatikus (A) szakirány, 2008</t>
  </si>
  <si>
    <t>IP-08LA, a tárgy a IP-08aSZGG nélkül is felvehető</t>
  </si>
  <si>
    <t>IP-08LA, IP-08aPNY1, a tárgy a IP-08aSZGE nélkül is felvehető</t>
  </si>
  <si>
    <t>Komputeralgebra rendszerek</t>
  </si>
  <si>
    <t>Az analízis alkalmazásai</t>
  </si>
  <si>
    <t>Numerikus Algoritmusok</t>
  </si>
  <si>
    <t>Matematikai statisztika</t>
  </si>
  <si>
    <t>27/33</t>
  </si>
  <si>
    <t>progmód2 GY2-NK</t>
  </si>
  <si>
    <t>progmód2 EA2-NK</t>
  </si>
  <si>
    <t>oaf GY2-NK</t>
  </si>
  <si>
    <t>szofttech X4-NK</t>
  </si>
  <si>
    <t>valszámstat EA2-NK</t>
  </si>
  <si>
    <t>prog (dimat1 erős) X5-NK</t>
  </si>
  <si>
    <t>eva2 X2-NK</t>
  </si>
  <si>
    <t>modalg X4-K</t>
  </si>
  <si>
    <t>orsi EA3-K</t>
  </si>
  <si>
    <t>adatb2 EA2?-K</t>
  </si>
  <si>
    <t>orsi GY2-K</t>
  </si>
  <si>
    <t>progmód1 GY2-NK</t>
  </si>
  <si>
    <t>progmód1 EA2-NK</t>
  </si>
  <si>
    <t>funkcprog X5-K</t>
  </si>
  <si>
    <t>nummód2 X3-NK</t>
  </si>
  <si>
    <t>eva1 X2-NK</t>
  </si>
  <si>
    <t>ada X5-K</t>
  </si>
  <si>
    <t>waf X2-K</t>
  </si>
  <si>
    <t>valszám GY2-NK</t>
  </si>
  <si>
    <t>valszám EA2-NK</t>
  </si>
  <si>
    <t>számgraf (c++ erős) GY2-K</t>
  </si>
  <si>
    <t>adatb2 EA2-K</t>
  </si>
  <si>
    <t>nummód2 GY2-NK</t>
  </si>
  <si>
    <t>nummód2 EA3-NK</t>
  </si>
  <si>
    <t>anal3 GY2-K</t>
  </si>
  <si>
    <t>anal3 EA3-K</t>
  </si>
  <si>
    <t>kompalg GY2-NK</t>
  </si>
  <si>
    <t>komaplg EA2-NK</t>
  </si>
  <si>
    <t>matstat GY4-NK</t>
  </si>
  <si>
    <t>or EA2-VK</t>
  </si>
  <si>
    <t>numalg X4-NK</t>
  </si>
  <si>
    <t>analk GY2-K</t>
  </si>
  <si>
    <t>analk EA2-K</t>
  </si>
  <si>
    <t>algo1 GY3-NK*</t>
  </si>
  <si>
    <t>*Algoritmusok és adatszerkezetek I. gyakorlat (IP-08cAA1G_14) 3 kredites.</t>
  </si>
  <si>
    <t>opre (prog erős) X4-NK*</t>
  </si>
  <si>
    <t>*Operációs rendszerek 6 féléves estin őszi félévre, 8 féléves estin tavaszi félévre van ajánlva, viszont Neptunban nem láttam meghirdetve tavasszal. Így nem tudom, hogy van-e belőle keresztfélév.</t>
  </si>
  <si>
    <t>http://www.inf.elte.hu/karunkrol/oktatas/tantervek/Tantervihalok/PTI_BSc_2008_A.pdf</t>
  </si>
  <si>
    <r>
      <rPr>
        <u/>
        <sz val="11"/>
        <color rgb="FF0000FF"/>
        <rFont val="Calibri"/>
        <family val="2"/>
        <charset val="238"/>
        <scheme val="minor"/>
      </rPr>
      <t>Egyetemi alapozó és tanulásmódszertan kurzus</t>
    </r>
    <r>
      <rPr>
        <sz val="11"/>
        <color rgb="FF0000FF"/>
        <rFont val="Calibri"/>
        <family val="2"/>
        <charset val="238"/>
        <scheme val="minor"/>
      </rPr>
      <t xml:space="preserve"> *</t>
    </r>
  </si>
  <si>
    <r>
      <rPr>
        <b/>
        <u/>
        <sz val="11"/>
        <color rgb="FF0000FF"/>
        <rFont val="Calibri"/>
        <family val="2"/>
        <charset val="238"/>
        <scheme val="minor"/>
      </rPr>
      <t>http://www.inf.elte.hu/hallgatok/bscszakmaigyak/Lapok/default.aspx</t>
    </r>
  </si>
  <si>
    <r>
      <rPr>
        <sz val="11"/>
        <rFont val="Calibri"/>
        <family val="2"/>
        <charset val="238"/>
        <scheme val="minor"/>
      </rPr>
      <t xml:space="preserve">* </t>
    </r>
    <r>
      <rPr>
        <b/>
        <sz val="11"/>
        <rFont val="Calibri"/>
        <family val="2"/>
        <charset val="238"/>
        <scheme val="minor"/>
      </rPr>
      <t>2015 vagy utána felvettek: Az IP-15TMKG Egyetemi alapozó és tanulásmódszertan kurzus  a 2015 vagy azután felvett hallgatók számára</t>
    </r>
  </si>
  <si>
    <r>
      <rPr>
        <b/>
        <u/>
        <sz val="11"/>
        <color rgb="FF0000FF"/>
        <rFont val="Calibri"/>
        <family val="2"/>
        <charset val="238"/>
        <scheme val="minor"/>
      </rPr>
      <t>http://www.inf.elte.hu/karunkrol/szervezet/dekanihivatal/to/hirek/Lapok/Aszakdolgozatdiplomakonzult%C3%A1ci%C3%B3rendje.aspx</t>
    </r>
  </si>
  <si>
    <r>
      <rPr>
        <u/>
        <sz val="11"/>
        <color rgb="FF0000FF"/>
        <rFont val="Calibri"/>
        <family val="2"/>
        <charset val="238"/>
        <scheme val="minor"/>
      </rPr>
      <t>Komputeralgebra rendszerek</t>
    </r>
  </si>
  <si>
    <r>
      <rPr>
        <u/>
        <sz val="11"/>
        <color rgb="FF0000FF"/>
        <rFont val="Calibri"/>
        <family val="2"/>
        <charset val="238"/>
        <scheme val="minor"/>
      </rPr>
      <t>Osztott rendszerek</t>
    </r>
  </si>
  <si>
    <r>
      <rPr>
        <sz val="11"/>
        <rFont val="Calibri"/>
        <family val="2"/>
        <charset val="238"/>
        <scheme val="minor"/>
      </rPr>
      <t xml:space="preserve">* </t>
    </r>
    <r>
      <rPr>
        <b/>
        <sz val="11"/>
        <rFont val="Calibri"/>
        <family val="2"/>
        <charset val="238"/>
        <scheme val="minor"/>
      </rPr>
      <t>2015 vagy utána felvettek: Az IP-15TMKG Egyetemi alapozó és tanulásmódszertan kurzus  a 2015 vagy azután felvett hallgatók számára az abszolutórium része!</t>
    </r>
  </si>
  <si>
    <t>http://www.inf.elte.hu/karunkrol/oktatas/tantervek/Tantervihalok/PTI_BSc_2008_B.pdf</t>
  </si>
  <si>
    <t>alapozó GY0-NK</t>
  </si>
  <si>
    <r>
      <rPr>
        <b/>
        <sz val="11"/>
        <rFont val="Calibri"/>
        <family val="2"/>
        <charset val="238"/>
        <scheme val="minor"/>
      </rPr>
      <t>Ajánlott
félév</t>
    </r>
  </si>
  <si>
    <r>
      <t xml:space="preserve">* </t>
    </r>
    <r>
      <rPr>
        <b/>
        <sz val="11"/>
        <rFont val="Calibri"/>
        <family val="2"/>
        <charset val="238"/>
        <scheme val="minor"/>
      </rPr>
      <t>2015 vagy utána felvettek: Az IP-15TMKG Egyetemi alapozó és tanulásmódszertan kurzus  a 2015 vagy azután felvett hallgatók számára</t>
    </r>
  </si>
  <si>
    <t>http://www.inf.elte.hu/karunkrol/oktatas/tantervek/Tantervihalok/PTI_BSc_2008_C.pdf</t>
  </si>
  <si>
    <t>http://www.inf.elte.hu/karunkrol/oktatas/tantervek/Tantervihalok/PTI_BSc_2008_E.pdf</t>
  </si>
  <si>
    <t>A programtervező informatikus BSc szakos hallgatók - a 289/2005. (XII. 22.) Korm. rendelet 1. számú mellékletének megfelelően - összefüggő 6 hetes szakmai gyakorlaton kötelesek részt venni.</t>
  </si>
  <si>
    <t>Kredit értéke nincs, de teljesítése kritériumként szükséges feltétele az abszolutórium megszerzésének.</t>
  </si>
  <si>
    <t>http://www.inf.elte.hu/karunkrol/oktatas/tantervek/Tantervihalok/PTI_BSC_2008_esti_8_feleves.pdf</t>
  </si>
  <si>
    <t>c++ (prog gyenge) X5-NK**</t>
  </si>
  <si>
    <t>**C++ A-n gyengébb, mint a többi szakirányon. A többin van keresztfélév, A-s nincs.</t>
  </si>
  <si>
    <t>Tárgynév</t>
  </si>
  <si>
    <t>Ekvivalencia</t>
  </si>
  <si>
    <t>Adatbázisok 1</t>
  </si>
  <si>
    <t>A=B=C=E=T</t>
  </si>
  <si>
    <t>Adatbázisok 2</t>
  </si>
  <si>
    <t>Algoritmusok és adatszerkezetek 1</t>
  </si>
  <si>
    <t>Algoritmusok és adatszerkezetek 2</t>
  </si>
  <si>
    <t>Analízis 1</t>
  </si>
  <si>
    <t>Analízis 2</t>
  </si>
  <si>
    <t>A=B=C=E</t>
  </si>
  <si>
    <t>Analízis 3</t>
  </si>
  <si>
    <t>A&gt;B=C=E</t>
  </si>
  <si>
    <t>Az analízis alkalmazásai</t>
  </si>
  <si>
    <t>Diszkrét matematika 1</t>
  </si>
  <si>
    <t>Egységes</t>
  </si>
  <si>
    <t>A</t>
  </si>
  <si>
    <t>Ajánlott félév (A)</t>
  </si>
  <si>
    <t>Diszkrét matematika 2 / Matematika II 1</t>
  </si>
  <si>
    <t>Formális nyelvek</t>
  </si>
  <si>
    <t>Jogi és menedzsment ismeretek</t>
  </si>
  <si>
    <t>Komputeralgebra</t>
  </si>
  <si>
    <t>Közgazdasági alapismeretek</t>
  </si>
  <si>
    <t>Lineáris algebra</t>
  </si>
  <si>
    <t>Logika és számításelmélet</t>
  </si>
  <si>
    <t>Matematikai alapozás</t>
  </si>
  <si>
    <t>Mesterséges intelligencia</t>
  </si>
  <si>
    <t>Numerikus algoritmusok</t>
  </si>
  <si>
    <t>Numerikus módszerek 1</t>
  </si>
  <si>
    <t>A=B=C=E&gt;T</t>
  </si>
  <si>
    <t>Numerikus módszerek 2</t>
  </si>
  <si>
    <t>Objektumelvű alkalmazások fejlesztése</t>
  </si>
  <si>
    <t>A=B=T</t>
  </si>
  <si>
    <t>Operációs rendszerek</t>
  </si>
  <si>
    <t>Osztott rendszerek</t>
  </si>
  <si>
    <t>C=E&gt;A</t>
  </si>
  <si>
    <t>A=C=E=T2&lt;T1=B</t>
  </si>
  <si>
    <t>Programozási alapismeretek</t>
  </si>
  <si>
    <t>Programozási nyelvek 1 (C++)</t>
  </si>
  <si>
    <t>A&lt;B=C=E=T</t>
  </si>
  <si>
    <t>Programozási nyelvek 2 (Ada)</t>
  </si>
  <si>
    <t>A=B</t>
  </si>
  <si>
    <t>Számítógépes alapismeretek</t>
  </si>
  <si>
    <t>Számítógépes grafika</t>
  </si>
  <si>
    <t>A=C=E=T</t>
  </si>
  <si>
    <t>Számítógépes hálózatok</t>
  </si>
  <si>
    <t>Szoftvertechnológia</t>
  </si>
  <si>
    <t>Eseményvezérelt alkalmazások fejlesztése 1</t>
  </si>
  <si>
    <t>B</t>
  </si>
  <si>
    <t>Eseményvezérelt alkalmazások fejlesztése 2</t>
  </si>
  <si>
    <t>Funkcionális programozás</t>
  </si>
  <si>
    <t>B&gt;T1=T2</t>
  </si>
  <si>
    <t>Modellek és algoritmusok</t>
  </si>
  <si>
    <t>B&gt;C=E</t>
  </si>
  <si>
    <t>Osztott rendszerek specifikációja és implementációja</t>
  </si>
  <si>
    <t>Programozás módszertani alapjai 1</t>
  </si>
  <si>
    <t>B=T</t>
  </si>
  <si>
    <t>Programozás módszertani alapjai 2</t>
  </si>
  <si>
    <t>Valószínűségszámítás és statisztika / Matematika II 2</t>
  </si>
  <si>
    <t>B=C=E&gt;T</t>
  </si>
  <si>
    <t>Web-es alkalmazások fejlesztése</t>
  </si>
  <si>
    <t>Alkalmazások fejlesztése</t>
  </si>
  <si>
    <t>C</t>
  </si>
  <si>
    <t>C=E</t>
  </si>
  <si>
    <t>Programozási nyelvek 2 (Java)</t>
  </si>
  <si>
    <t>C=E=T</t>
  </si>
  <si>
    <t>Programozási technológia 1</t>
  </si>
  <si>
    <t>Programozási technológia 2</t>
  </si>
  <si>
    <t>Projekt eszközök</t>
  </si>
  <si>
    <t>Script nyelvek</t>
  </si>
  <si>
    <t>Diszkrét matematika 3</t>
  </si>
  <si>
    <t>E</t>
  </si>
  <si>
    <t>Informatikai versenyfeladatok 1</t>
  </si>
  <si>
    <t>Informatikai versenyfeladatok 2</t>
  </si>
  <si>
    <t>Közismereti informatika</t>
  </si>
  <si>
    <t>WEB fejlesztés 1</t>
  </si>
  <si>
    <t>WEB fejlesztés 2</t>
  </si>
  <si>
    <t>T</t>
  </si>
  <si>
    <t>Matematika I 1</t>
  </si>
  <si>
    <t>Matematika I 2</t>
  </si>
  <si>
    <t>Megjegyzések:</t>
  </si>
  <si>
    <t>http://www.inf.elte.hu/karunkrol/oktatas/tantervek/Ekvivalenciak/PTI2008_mind_ekv.pdf</t>
  </si>
  <si>
    <t>Estis ajánlott félévnél a 6 féléves terv van figyelem bevéve.</t>
  </si>
  <si>
    <t>Ajánlott félév (B)</t>
  </si>
  <si>
    <t>Ajánlott félév (C)</t>
  </si>
  <si>
    <t>Ajánlott félév (E)</t>
  </si>
  <si>
    <t>Ajánlott félév (T1)</t>
  </si>
  <si>
    <t>Ajánlott félév (T2)</t>
  </si>
  <si>
    <t>A&gt;B, C=E</t>
  </si>
  <si>
    <t>Közgazdasági és jogi ismeretek</t>
  </si>
  <si>
    <t>Matematikai statisztika</t>
  </si>
  <si>
    <t>C ? E</t>
  </si>
  <si>
    <t>B ? E</t>
  </si>
  <si>
    <r>
      <rPr>
        <b/>
        <sz val="11"/>
        <color rgb="FF000000"/>
        <rFont val="Calibri"/>
        <family val="2"/>
        <charset val="238"/>
      </rPr>
      <t>Közgazdasági és jogi ismeretek</t>
    </r>
    <r>
      <rPr>
        <sz val="11"/>
        <color rgb="FF000000"/>
        <rFont val="Calibri"/>
        <family val="2"/>
        <charset val="204"/>
      </rPr>
      <t xml:space="preserve"> tárgyat kiváltják a </t>
    </r>
    <r>
      <rPr>
        <b/>
        <sz val="11"/>
        <color rgb="FF000000"/>
        <rFont val="Calibri"/>
        <family val="2"/>
        <charset val="238"/>
      </rPr>
      <t>Közgazdasági alapismeretek</t>
    </r>
    <r>
      <rPr>
        <sz val="11"/>
        <color rgb="FF000000"/>
        <rFont val="Calibri"/>
        <family val="2"/>
        <charset val="204"/>
      </rPr>
      <t xml:space="preserve"> és </t>
    </r>
    <r>
      <rPr>
        <b/>
        <sz val="11"/>
        <color rgb="FF000000"/>
        <rFont val="Calibri"/>
        <family val="2"/>
        <charset val="238"/>
      </rPr>
      <t>Jogi és menedzsment ismeretek</t>
    </r>
    <r>
      <rPr>
        <sz val="11"/>
        <color rgb="FF000000"/>
        <rFont val="Calibri"/>
        <family val="2"/>
        <charset val="204"/>
      </rPr>
      <t xml:space="preserve"> tárgyak.</t>
    </r>
  </si>
  <si>
    <r>
      <rPr>
        <b/>
        <sz val="11"/>
        <color rgb="FF000000"/>
        <rFont val="Calibri"/>
        <family val="2"/>
        <charset val="238"/>
      </rPr>
      <t>Matematika I 1</t>
    </r>
    <r>
      <rPr>
        <sz val="11"/>
        <color rgb="FF000000"/>
        <rFont val="Calibri"/>
        <family val="2"/>
        <charset val="204"/>
      </rPr>
      <t xml:space="preserve"> tárgyat az </t>
    </r>
    <r>
      <rPr>
        <b/>
        <sz val="11"/>
        <color rgb="FF000000"/>
        <rFont val="Calibri"/>
        <family val="2"/>
        <charset val="238"/>
      </rPr>
      <t>Analízis 2 C</t>
    </r>
    <r>
      <rPr>
        <sz val="11"/>
        <color rgb="FF000000"/>
        <rFont val="Calibri"/>
        <family val="2"/>
        <charset val="204"/>
      </rPr>
      <t xml:space="preserve"> és </t>
    </r>
    <r>
      <rPr>
        <b/>
        <sz val="11"/>
        <color rgb="FF000000"/>
        <rFont val="Calibri"/>
        <family val="2"/>
        <charset val="238"/>
      </rPr>
      <t>Lineáris algebra C</t>
    </r>
    <r>
      <rPr>
        <sz val="11"/>
        <color rgb="FF000000"/>
        <rFont val="Calibri"/>
        <family val="2"/>
        <charset val="204"/>
      </rPr>
      <t xml:space="preserve"> tárgy együtt fedi le.</t>
    </r>
  </si>
  <si>
    <r>
      <rPr>
        <b/>
        <sz val="11"/>
        <color rgb="FF000000"/>
        <rFont val="Calibri"/>
        <family val="2"/>
        <charset val="238"/>
      </rPr>
      <t>Matematika I 2</t>
    </r>
    <r>
      <rPr>
        <sz val="11"/>
        <color rgb="FF000000"/>
        <rFont val="Calibri"/>
        <family val="2"/>
        <charset val="204"/>
      </rPr>
      <t xml:space="preserve"> tárgyat az </t>
    </r>
    <r>
      <rPr>
        <b/>
        <sz val="11"/>
        <color rgb="FF000000"/>
        <rFont val="Calibri"/>
        <family val="2"/>
        <charset val="238"/>
      </rPr>
      <t>Analízis 3 C</t>
    </r>
    <r>
      <rPr>
        <sz val="11"/>
        <color rgb="FF000000"/>
        <rFont val="Calibri"/>
        <family val="2"/>
        <charset val="204"/>
      </rPr>
      <t xml:space="preserve"> és </t>
    </r>
    <r>
      <rPr>
        <b/>
        <sz val="11"/>
        <color rgb="FF000000"/>
        <rFont val="Calibri"/>
        <family val="2"/>
        <charset val="238"/>
      </rPr>
      <t>Lineáris algebra C</t>
    </r>
    <r>
      <rPr>
        <sz val="11"/>
        <color rgb="FF000000"/>
        <rFont val="Calibri"/>
        <family val="2"/>
        <charset val="204"/>
      </rPr>
      <t xml:space="preserve"> tárgy együtt fedi le.</t>
    </r>
  </si>
  <si>
    <r>
      <rPr>
        <b/>
        <sz val="11"/>
        <color rgb="FF000000"/>
        <rFont val="Calibri"/>
        <family val="2"/>
        <charset val="238"/>
      </rPr>
      <t>Osztott rendszerek specifikációja és implementációja</t>
    </r>
    <r>
      <rPr>
        <sz val="11"/>
        <color rgb="FF000000"/>
        <rFont val="Calibri"/>
        <family val="2"/>
        <charset val="204"/>
      </rPr>
      <t xml:space="preserve"> független az </t>
    </r>
    <r>
      <rPr>
        <b/>
        <sz val="11"/>
        <color rgb="FF000000"/>
        <rFont val="Calibri"/>
        <family val="2"/>
        <charset val="238"/>
      </rPr>
      <t>Osztott rendszerek AC</t>
    </r>
    <r>
      <rPr>
        <sz val="11"/>
        <color rgb="FF000000"/>
        <rFont val="Calibri"/>
        <family val="2"/>
        <charset val="204"/>
      </rPr>
      <t xml:space="preserve"> tárgyaktól.</t>
    </r>
  </si>
  <si>
    <r>
      <rPr>
        <b/>
        <sz val="11"/>
        <color rgb="FF000000"/>
        <rFont val="Calibri"/>
        <family val="2"/>
        <charset val="238"/>
      </rPr>
      <t>Valószínűségszámítás</t>
    </r>
    <r>
      <rPr>
        <sz val="11"/>
        <color rgb="FF000000"/>
        <rFont val="Calibri"/>
        <family val="2"/>
        <charset val="204"/>
      </rPr>
      <t xml:space="preserve"> és  </t>
    </r>
    <r>
      <rPr>
        <b/>
        <sz val="11"/>
        <color rgb="FF000000"/>
        <rFont val="Calibri"/>
        <family val="2"/>
        <charset val="238"/>
      </rPr>
      <t>Matematikai statisztika</t>
    </r>
    <r>
      <rPr>
        <sz val="11"/>
        <color rgb="FF000000"/>
        <rFont val="Calibri"/>
        <family val="2"/>
        <charset val="204"/>
      </rPr>
      <t xml:space="preserve"> tárgyak lefedik a </t>
    </r>
    <r>
      <rPr>
        <b/>
        <sz val="11"/>
        <color rgb="FF000000"/>
        <rFont val="Calibri"/>
        <family val="2"/>
        <charset val="238"/>
      </rPr>
      <t>Valószínűségszámítás és statisztika</t>
    </r>
    <r>
      <rPr>
        <sz val="11"/>
        <color rgb="FF000000"/>
        <rFont val="Calibri"/>
        <family val="2"/>
        <charset val="204"/>
      </rPr>
      <t xml:space="preserve"> és </t>
    </r>
    <r>
      <rPr>
        <b/>
        <sz val="11"/>
        <color rgb="FF000000"/>
        <rFont val="Calibri"/>
        <family val="2"/>
        <charset val="238"/>
      </rPr>
      <t>Matematika II 2</t>
    </r>
    <r>
      <rPr>
        <sz val="11"/>
        <color rgb="FF000000"/>
        <rFont val="Calibri"/>
        <family val="2"/>
        <charset val="204"/>
      </rPr>
      <t xml:space="preserve"> tárgyakat.</t>
    </r>
  </si>
  <si>
    <r>
      <t xml:space="preserve">*Nappali </t>
    </r>
    <r>
      <rPr>
        <b/>
        <sz val="11"/>
        <color rgb="FF000000"/>
        <rFont val="Calibri"/>
        <family val="2"/>
        <charset val="238"/>
      </rPr>
      <t>Diszkrét matematika 2</t>
    </r>
    <r>
      <rPr>
        <sz val="11"/>
        <color rgb="FF000000"/>
        <rFont val="Calibri"/>
        <family val="2"/>
        <charset val="204"/>
      </rPr>
      <t xml:space="preserve"> tárgyat az esti </t>
    </r>
    <r>
      <rPr>
        <b/>
        <sz val="11"/>
        <color rgb="FF000000"/>
        <rFont val="Calibri"/>
        <family val="2"/>
        <charset val="238"/>
      </rPr>
      <t>Diszkrét matematika 2</t>
    </r>
    <r>
      <rPr>
        <sz val="11"/>
        <color rgb="FF000000"/>
        <rFont val="Calibri"/>
        <family val="2"/>
        <charset val="204"/>
      </rPr>
      <t xml:space="preserve"> és </t>
    </r>
    <r>
      <rPr>
        <b/>
        <sz val="11"/>
        <color rgb="FF000000"/>
        <rFont val="Calibri"/>
        <family val="2"/>
        <charset val="238"/>
      </rPr>
      <t>Diszkrét matematika 3</t>
    </r>
    <r>
      <rPr>
        <sz val="11"/>
        <color rgb="FF000000"/>
        <rFont val="Calibri"/>
        <family val="2"/>
        <charset val="204"/>
      </rPr>
      <t xml:space="preserve"> fedik le.</t>
    </r>
  </si>
  <si>
    <t>A=B&gt;C&gt;T (E*)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</si>
</sst>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rgb="FF0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0"/>
      <color rgb="FF000000"/>
      <name val="Times New Roman"/>
      <family val="1"/>
      <charset val="238"/>
    </font>
    <font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u/>
      <sz val="11"/>
      <color rgb="FF0000FF"/>
      <name val="Calibri"/>
      <family val="2"/>
      <charset val="238"/>
      <scheme val="minor"/>
    </font>
    <font>
      <sz val="11"/>
      <color rgb="FF0000FF"/>
      <name val="Calibri"/>
      <family val="2"/>
      <charset val="238"/>
      <scheme val="minor"/>
    </font>
    <font>
      <u/>
      <sz val="11"/>
      <color rgb="FF000000"/>
      <name val="Calibri"/>
      <family val="2"/>
      <charset val="238"/>
      <scheme val="minor"/>
    </font>
    <font>
      <b/>
      <u/>
      <sz val="11"/>
      <name val="Calibri"/>
      <family val="2"/>
      <charset val="238"/>
      <scheme val="minor"/>
    </font>
    <font>
      <b/>
      <u/>
      <sz val="11"/>
      <color rgb="FF0000FF"/>
      <name val="Calibri"/>
      <family val="2"/>
      <charset val="238"/>
      <scheme val="minor"/>
    </font>
    <font>
      <u/>
      <sz val="11"/>
      <name val="Calibri"/>
      <family val="2"/>
      <charset val="238"/>
      <scheme val="minor"/>
    </font>
    <font>
      <b/>
      <sz val="11"/>
      <color rgb="FF000000"/>
      <name val="Calibri"/>
      <family val="2"/>
      <charset val="238"/>
    </font>
  </fonts>
  <fills count="2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66BB00"/>
        <bgColor indexed="64"/>
      </patternFill>
    </fill>
    <fill>
      <patternFill patternType="solid">
        <fgColor rgb="FFCC3311"/>
        <bgColor indexed="64"/>
      </patternFill>
    </fill>
    <fill>
      <patternFill patternType="solid">
        <fgColor rgb="FFC488C1"/>
        <bgColor indexed="64"/>
      </patternFill>
    </fill>
    <fill>
      <patternFill patternType="solid">
        <fgColor rgb="FFFF7788"/>
        <bgColor indexed="64"/>
      </patternFill>
    </fill>
    <fill>
      <patternFill patternType="solid">
        <fgColor rgb="FFFF8822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66BBFF"/>
        <bgColor indexed="64"/>
      </patternFill>
    </fill>
    <fill>
      <patternFill patternType="solid">
        <fgColor rgb="FF6677FF"/>
        <bgColor indexed="64"/>
      </patternFill>
    </fill>
    <fill>
      <patternFill patternType="solid">
        <fgColor rgb="FF00ABA9"/>
        <bgColor indexed="64"/>
      </patternFill>
    </fill>
    <fill>
      <patternFill patternType="solid">
        <fgColor rgb="FFBBBB00"/>
        <bgColor indexed="64"/>
      </patternFill>
    </fill>
    <fill>
      <patternFill patternType="solid">
        <fgColor rgb="FF33BB77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22DD66"/>
        <bgColor indexed="64"/>
      </patternFill>
    </fill>
    <fill>
      <patternFill patternType="solid">
        <fgColor rgb="FFCCAA00"/>
        <bgColor indexed="64"/>
      </patternFill>
    </fill>
    <fill>
      <patternFill patternType="solid">
        <fgColor rgb="FF997700"/>
        <bgColor indexed="64"/>
      </patternFill>
    </fill>
    <fill>
      <patternFill patternType="solid">
        <fgColor rgb="FF0070E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AAA00"/>
        <bgColor indexed="64"/>
      </patternFill>
    </fill>
    <fill>
      <patternFill patternType="solid">
        <fgColor rgb="FF996633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244">
    <xf numFmtId="0" fontId="0" fillId="0" borderId="0" xfId="0"/>
    <xf numFmtId="0" fontId="4" fillId="0" borderId="0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3" borderId="6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vertical="center"/>
    </xf>
    <xf numFmtId="0" fontId="4" fillId="0" borderId="12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4" fillId="15" borderId="3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1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vertical="center"/>
    </xf>
    <xf numFmtId="0" fontId="4" fillId="13" borderId="3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textRotation="90"/>
    </xf>
    <xf numFmtId="164" fontId="4" fillId="0" borderId="0" xfId="0" applyNumberFormat="1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1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left" vertical="center"/>
    </xf>
    <xf numFmtId="0" fontId="7" fillId="20" borderId="1" xfId="0" applyFont="1" applyFill="1" applyBorder="1" applyAlignment="1">
      <alignment horizontal="left" vertical="center"/>
    </xf>
    <xf numFmtId="0" fontId="4" fillId="20" borderId="1" xfId="0" applyFont="1" applyFill="1" applyBorder="1" applyAlignment="1">
      <alignment horizontal="center" vertical="center"/>
    </xf>
    <xf numFmtId="1" fontId="4" fillId="2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 textRotation="90"/>
    </xf>
    <xf numFmtId="0" fontId="5" fillId="0" borderId="0" xfId="0" applyFont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0" xfId="0" applyFont="1" applyBorder="1" applyAlignment="1">
      <alignment vertical="center"/>
    </xf>
    <xf numFmtId="0" fontId="7" fillId="0" borderId="1" xfId="2" applyFont="1" applyFill="1" applyBorder="1" applyAlignment="1">
      <alignment horizontal="center" vertical="center"/>
    </xf>
    <xf numFmtId="0" fontId="7" fillId="0" borderId="1" xfId="2" applyFont="1" applyFill="1" applyBorder="1" applyAlignment="1">
      <alignment horizontal="center" vertical="center" textRotation="90"/>
    </xf>
    <xf numFmtId="0" fontId="7" fillId="0" borderId="18" xfId="2" applyFont="1" applyFill="1" applyBorder="1" applyAlignment="1">
      <alignment horizontal="center" vertical="center" textRotation="90"/>
    </xf>
    <xf numFmtId="0" fontId="5" fillId="0" borderId="18" xfId="2" applyFont="1" applyFill="1" applyBorder="1" applyAlignment="1">
      <alignment horizontal="left" vertical="center"/>
    </xf>
    <xf numFmtId="0" fontId="5" fillId="2" borderId="1" xfId="2" applyFont="1" applyFill="1" applyBorder="1" applyAlignment="1">
      <alignment horizontal="left" vertical="center"/>
    </xf>
    <xf numFmtId="0" fontId="7" fillId="0" borderId="18" xfId="2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left" vertical="center"/>
    </xf>
    <xf numFmtId="1" fontId="4" fillId="2" borderId="1" xfId="2" applyNumberFormat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0" fontId="5" fillId="2" borderId="18" xfId="2" applyFont="1" applyFill="1" applyBorder="1" applyAlignment="1">
      <alignment horizontal="left" vertical="center"/>
    </xf>
    <xf numFmtId="0" fontId="5" fillId="2" borderId="18" xfId="2" applyFont="1" applyFill="1" applyBorder="1" applyAlignment="1">
      <alignment horizontal="center" vertical="center"/>
    </xf>
    <xf numFmtId="0" fontId="4" fillId="2" borderId="18" xfId="2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left" vertical="center"/>
    </xf>
    <xf numFmtId="0" fontId="8" fillId="0" borderId="1" xfId="2" applyFont="1" applyFill="1" applyBorder="1" applyAlignment="1">
      <alignment horizontal="left" vertical="center"/>
    </xf>
    <xf numFmtId="1" fontId="4" fillId="0" borderId="1" xfId="2" applyNumberFormat="1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0" fontId="5" fillId="0" borderId="18" xfId="2" applyFont="1" applyFill="1" applyBorder="1" applyAlignment="1">
      <alignment horizontal="center" vertical="center"/>
    </xf>
    <xf numFmtId="0" fontId="4" fillId="0" borderId="18" xfId="2" applyFont="1" applyFill="1" applyBorder="1" applyAlignment="1">
      <alignment horizontal="center" vertical="center"/>
    </xf>
    <xf numFmtId="0" fontId="9" fillId="0" borderId="1" xfId="2" applyFont="1" applyFill="1" applyBorder="1" applyAlignment="1">
      <alignment horizontal="left" vertical="center"/>
    </xf>
    <xf numFmtId="0" fontId="5" fillId="20" borderId="1" xfId="2" applyFont="1" applyFill="1" applyBorder="1" applyAlignment="1">
      <alignment horizontal="left" vertical="center"/>
    </xf>
    <xf numFmtId="0" fontId="7" fillId="20" borderId="1" xfId="2" applyFont="1" applyFill="1" applyBorder="1" applyAlignment="1">
      <alignment horizontal="left" vertical="center"/>
    </xf>
    <xf numFmtId="0" fontId="4" fillId="20" borderId="1" xfId="2" applyFont="1" applyFill="1" applyBorder="1" applyAlignment="1">
      <alignment horizontal="center" vertical="center"/>
    </xf>
    <xf numFmtId="1" fontId="4" fillId="20" borderId="1" xfId="2" applyNumberFormat="1" applyFont="1" applyFill="1" applyBorder="1" applyAlignment="1">
      <alignment horizontal="center" vertical="center"/>
    </xf>
    <xf numFmtId="0" fontId="4" fillId="20" borderId="18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/>
    </xf>
    <xf numFmtId="1" fontId="4" fillId="2" borderId="18" xfId="2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7" fillId="0" borderId="17" xfId="0" applyFont="1" applyFill="1" applyBorder="1" applyAlignment="1">
      <alignment horizontal="left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textRotation="90"/>
    </xf>
    <xf numFmtId="0" fontId="4" fillId="0" borderId="0" xfId="0" applyFont="1" applyFill="1" applyAlignment="1">
      <alignment horizontal="left" vertical="center"/>
    </xf>
    <xf numFmtId="0" fontId="4" fillId="0" borderId="0" xfId="0" applyFont="1" applyAlignment="1">
      <alignment vertical="center" textRotation="90"/>
    </xf>
    <xf numFmtId="164" fontId="4" fillId="2" borderId="1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4" fillId="0" borderId="24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0" borderId="17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left" vertical="center"/>
    </xf>
    <xf numFmtId="0" fontId="1" fillId="0" borderId="0" xfId="1" applyAlignment="1">
      <alignment vertical="center"/>
    </xf>
    <xf numFmtId="0" fontId="11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15" borderId="15" xfId="0" applyFont="1" applyFill="1" applyBorder="1" applyAlignment="1">
      <alignment horizontal="center" vertical="center"/>
    </xf>
    <xf numFmtId="0" fontId="4" fillId="15" borderId="13" xfId="0" applyFont="1" applyFill="1" applyBorder="1" applyAlignment="1">
      <alignment horizontal="center" vertical="center"/>
    </xf>
    <xf numFmtId="0" fontId="4" fillId="16" borderId="8" xfId="0" applyFont="1" applyFill="1" applyBorder="1" applyAlignment="1">
      <alignment horizontal="center" vertical="center"/>
    </xf>
    <xf numFmtId="0" fontId="4" fillId="16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17" borderId="15" xfId="0" applyFont="1" applyFill="1" applyBorder="1" applyAlignment="1">
      <alignment horizontal="center" vertical="center"/>
    </xf>
    <xf numFmtId="0" fontId="4" fillId="17" borderId="13" xfId="0" applyFont="1" applyFill="1" applyBorder="1" applyAlignment="1">
      <alignment horizontal="center" vertical="center"/>
    </xf>
    <xf numFmtId="1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" fontId="4" fillId="0" borderId="0" xfId="0" applyNumberFormat="1" applyFont="1" applyFill="1" applyBorder="1" applyAlignment="1">
      <alignment horizontal="center" vertical="center"/>
    </xf>
    <xf numFmtId="0" fontId="4" fillId="21" borderId="15" xfId="0" applyFont="1" applyFill="1" applyBorder="1" applyAlignment="1">
      <alignment horizontal="center" vertical="center"/>
    </xf>
    <xf numFmtId="0" fontId="4" fillId="21" borderId="13" xfId="0" applyFont="1" applyFill="1" applyBorder="1" applyAlignment="1">
      <alignment horizontal="center" vertical="center"/>
    </xf>
    <xf numFmtId="0" fontId="4" fillId="12" borderId="15" xfId="0" applyFont="1" applyFill="1" applyBorder="1" applyAlignment="1">
      <alignment horizontal="center" vertical="center"/>
    </xf>
    <xf numFmtId="0" fontId="4" fillId="12" borderId="13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19" borderId="20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13" borderId="9" xfId="0" applyFont="1" applyFill="1" applyBorder="1" applyAlignment="1">
      <alignment horizontal="center" vertical="center"/>
    </xf>
    <xf numFmtId="0" fontId="4" fillId="13" borderId="11" xfId="0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/>
    </xf>
    <xf numFmtId="0" fontId="4" fillId="13" borderId="14" xfId="0" applyFont="1" applyFill="1" applyBorder="1" applyAlignment="1">
      <alignment horizontal="center" vertical="center"/>
    </xf>
    <xf numFmtId="0" fontId="4" fillId="13" borderId="8" xfId="0" applyFont="1" applyFill="1" applyBorder="1" applyAlignment="1">
      <alignment horizontal="center" vertical="center"/>
    </xf>
    <xf numFmtId="0" fontId="4" fillId="13" borderId="12" xfId="0" applyFont="1" applyFill="1" applyBorder="1" applyAlignment="1">
      <alignment horizontal="center" vertical="center"/>
    </xf>
    <xf numFmtId="0" fontId="4" fillId="14" borderId="9" xfId="0" applyFont="1" applyFill="1" applyBorder="1" applyAlignment="1">
      <alignment horizontal="center" vertical="center"/>
    </xf>
    <xf numFmtId="0" fontId="4" fillId="14" borderId="11" xfId="0" applyFont="1" applyFill="1" applyBorder="1" applyAlignment="1">
      <alignment horizontal="center" vertical="center"/>
    </xf>
    <xf numFmtId="0" fontId="4" fillId="14" borderId="7" xfId="0" applyFont="1" applyFill="1" applyBorder="1" applyAlignment="1">
      <alignment horizontal="center" vertical="center"/>
    </xf>
    <xf numFmtId="0" fontId="4" fillId="14" borderId="14" xfId="0" applyFont="1" applyFill="1" applyBorder="1" applyAlignment="1">
      <alignment horizontal="center" vertical="center"/>
    </xf>
    <xf numFmtId="0" fontId="4" fillId="14" borderId="8" xfId="0" applyFont="1" applyFill="1" applyBorder="1" applyAlignment="1">
      <alignment horizontal="center" vertical="center"/>
    </xf>
    <xf numFmtId="0" fontId="4" fillId="14" borderId="12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22" fontId="4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22" borderId="15" xfId="0" applyFont="1" applyFill="1" applyBorder="1" applyAlignment="1">
      <alignment horizontal="center" vertical="center"/>
    </xf>
    <xf numFmtId="0" fontId="4" fillId="22" borderId="13" xfId="0" applyFont="1" applyFill="1" applyBorder="1" applyAlignment="1">
      <alignment horizontal="center" vertical="center"/>
    </xf>
    <xf numFmtId="0" fontId="4" fillId="14" borderId="15" xfId="0" applyFont="1" applyFill="1" applyBorder="1" applyAlignment="1">
      <alignment horizontal="center" vertical="center"/>
    </xf>
    <xf numFmtId="0" fontId="4" fillId="14" borderId="13" xfId="0" applyFont="1" applyFill="1" applyBorder="1" applyAlignment="1">
      <alignment horizontal="center" vertical="center"/>
    </xf>
    <xf numFmtId="0" fontId="4" fillId="16" borderId="21" xfId="0" applyFont="1" applyFill="1" applyBorder="1" applyAlignment="1">
      <alignment horizontal="center" vertical="center"/>
    </xf>
    <xf numFmtId="0" fontId="4" fillId="16" borderId="22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8" borderId="15" xfId="0" applyFont="1" applyFill="1" applyBorder="1" applyAlignment="1">
      <alignment horizontal="center" vertical="center"/>
    </xf>
    <xf numFmtId="0" fontId="4" fillId="18" borderId="13" xfId="0" applyFont="1" applyFill="1" applyBorder="1" applyAlignment="1">
      <alignment horizontal="center" vertical="center"/>
    </xf>
    <xf numFmtId="0" fontId="1" fillId="0" borderId="0" xfId="1" applyAlignment="1">
      <alignment horizontal="left" vertical="center"/>
    </xf>
    <xf numFmtId="0" fontId="7" fillId="0" borderId="17" xfId="0" applyFont="1" applyFill="1" applyBorder="1" applyAlignment="1">
      <alignment horizontal="center" vertical="center" wrapText="1"/>
    </xf>
    <xf numFmtId="0" fontId="4" fillId="11" borderId="15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22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2" applyFont="1" applyFill="1" applyBorder="1" applyAlignment="1">
      <alignment horizontal="left" vertical="center"/>
    </xf>
    <xf numFmtId="0" fontId="7" fillId="0" borderId="16" xfId="2" applyFont="1" applyFill="1" applyBorder="1" applyAlignment="1">
      <alignment horizontal="center" vertical="center"/>
    </xf>
    <xf numFmtId="0" fontId="7" fillId="0" borderId="17" xfId="2" applyFont="1" applyFill="1" applyBorder="1" applyAlignment="1">
      <alignment horizontal="left" vertical="center"/>
    </xf>
    <xf numFmtId="22" fontId="4" fillId="0" borderId="0" xfId="0" applyNumberFormat="1" applyFont="1" applyAlignment="1">
      <alignment horizontal="left" vertical="center"/>
    </xf>
    <xf numFmtId="0" fontId="7" fillId="0" borderId="0" xfId="2" applyFont="1" applyFill="1" applyBorder="1" applyAlignment="1">
      <alignment horizontal="center" vertical="center"/>
    </xf>
    <xf numFmtId="0" fontId="5" fillId="0" borderId="0" xfId="2" applyFont="1" applyFill="1" applyBorder="1" applyAlignment="1">
      <alignment horizontal="center" vertical="center"/>
    </xf>
    <xf numFmtId="0" fontId="13" fillId="0" borderId="0" xfId="2" applyFont="1" applyFill="1" applyBorder="1" applyAlignment="1">
      <alignment horizontal="center" vertical="center"/>
    </xf>
    <xf numFmtId="0" fontId="12" fillId="0" borderId="0" xfId="2" applyFont="1" applyFill="1" applyBorder="1" applyAlignment="1">
      <alignment horizontal="center" vertical="center"/>
    </xf>
    <xf numFmtId="0" fontId="11" fillId="0" borderId="0" xfId="2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8" xfId="0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center" vertical="center"/>
    </xf>
    <xf numFmtId="0" fontId="4" fillId="13" borderId="6" xfId="0" applyFont="1" applyFill="1" applyBorder="1" applyAlignment="1">
      <alignment horizontal="center" vertical="center"/>
    </xf>
    <xf numFmtId="0" fontId="4" fillId="10" borderId="15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colors>
    <mruColors>
      <color rgb="FF22DD66"/>
      <color rgb="FF997700"/>
      <color rgb="FF6699FF"/>
      <color rgb="FF996633"/>
      <color rgb="FF0000FF"/>
      <color rgb="FFBBBB00"/>
      <color rgb="FFAAAA00"/>
      <color rgb="FF0070EF"/>
      <color rgb="FF00ABA9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nf.elte.hu/karunkrol/oktatas/tantervek/Ekvivalenciak/PTI2008_mind_ekv.pdf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inf.elte.hu/karunkrol/oktatas/tantervek/tematika/PTIBScABCTE/Numerikus_modszerek_2_A_hun.pdf" TargetMode="External"/><Relationship Id="rId18" Type="http://schemas.openxmlformats.org/officeDocument/2006/relationships/hyperlink" Target="http://www.inf.elte.hu/karunkrol/oktatas/tantervek/tematika/PTIBScABCTE/Diszkret_matematika_2_ABC_hun.pdf" TargetMode="External"/><Relationship Id="rId26" Type="http://schemas.openxmlformats.org/officeDocument/2006/relationships/hyperlink" Target="http://www.inf.elte.hu/karunkrol/oktatas/tantervek/tematika/PTIBScABCTE/Logika_es_szamitaselmelet_ABCT_hun.pdf" TargetMode="External"/><Relationship Id="rId39" Type="http://schemas.openxmlformats.org/officeDocument/2006/relationships/hyperlink" Target="http://www.inf.elte.hu/karunkrol/oktatas/tantervek/tematika/PTIBScABCTE/Programozasi_nyelvek_(ADA)_AB_hun.pdf" TargetMode="External"/><Relationship Id="rId21" Type="http://schemas.openxmlformats.org/officeDocument/2006/relationships/hyperlink" Target="http://www.inf.elte.hu/karunkrol/oktatas/tantervek/tematika/PTIBScABCTE/Valoszinusegszamitas_A_hun.pdf" TargetMode="External"/><Relationship Id="rId34" Type="http://schemas.openxmlformats.org/officeDocument/2006/relationships/hyperlink" Target="http://www.inf.elte.hu/karunkrol/oktatas/tantervek/tematika/PTIBScABCTE/Mesterseges_intelligencia_ABCTE_hun.pdf" TargetMode="External"/><Relationship Id="rId42" Type="http://schemas.openxmlformats.org/officeDocument/2006/relationships/hyperlink" Target="http://www.inf.elte.hu/karunkrol/oktatas/tantervek/tematika/PTIBScABCTE/Forditoprogramok_ABCT_hun.pdf" TargetMode="External"/><Relationship Id="rId47" Type="http://schemas.openxmlformats.org/officeDocument/2006/relationships/hyperlink" Target="http://www.inf.elte.hu/karunkrol/oktatas/tantervek/tematika/PTIBScABCTE/Osztott_rendszerek_A_hun.pdf" TargetMode="External"/><Relationship Id="rId50" Type="http://schemas.openxmlformats.org/officeDocument/2006/relationships/hyperlink" Target="http://www.inf.elte.hu/karunkrol/oktatas/tantervek/tematika/PTIBScABCTE/Adatbazisok_2_ABT_hun.pdf" TargetMode="External"/><Relationship Id="rId55" Type="http://schemas.openxmlformats.org/officeDocument/2006/relationships/hyperlink" Target="http://www.inf.elte.hu/karunkrol/oktatas/tantervek/tematika/PTIBScABCTE/Jogi_es_menedzsment_alapismeretek_ABC_hun.pdf" TargetMode="External"/><Relationship Id="rId7" Type="http://schemas.openxmlformats.org/officeDocument/2006/relationships/hyperlink" Target="http://www.inf.elte.hu/karunkrol/oktatas/tantervek/tematika/PTIBScABCTE/Analizis_3_A_hun.pdf" TargetMode="External"/><Relationship Id="rId12" Type="http://schemas.openxmlformats.org/officeDocument/2006/relationships/hyperlink" Target="http://www.inf.elte.hu/karunkrol/oktatas/tantervek/tematika/PTIBScABCTE/Numerikus_modszerek_2_A_hun.pdf" TargetMode="External"/><Relationship Id="rId17" Type="http://schemas.openxmlformats.org/officeDocument/2006/relationships/hyperlink" Target="http://www.inf.elte.hu/karunkrol/oktatas/tantervek/tematika/PTIBScABCTE/Diszkret_matematika_2_ABC_hun.pdf" TargetMode="External"/><Relationship Id="rId25" Type="http://schemas.openxmlformats.org/officeDocument/2006/relationships/hyperlink" Target="http://www.inf.elte.hu/karunkrol/oktatas/tantervek/tematika/PTIBScABCTE/Komputeralgebra_rendszerek_A_hun.pdf" TargetMode="External"/><Relationship Id="rId33" Type="http://schemas.openxmlformats.org/officeDocument/2006/relationships/hyperlink" Target="http://www.inf.elte.hu/karunkrol/oktatas/tantervek/tematika/PTIBScABCTE/Formalis_nyelvek_es_automatak_ABCE_hun.pdf" TargetMode="External"/><Relationship Id="rId38" Type="http://schemas.openxmlformats.org/officeDocument/2006/relationships/hyperlink" Target="http://www.inf.elte.hu/karunkrol/oktatas/tantervek/tematika/PTIBScABCTE/Programozasi_nyelvek_(C)_A_hun.pdf" TargetMode="External"/><Relationship Id="rId46" Type="http://schemas.openxmlformats.org/officeDocument/2006/relationships/hyperlink" Target="http://www.inf.elte.hu/karunkrol/oktatas/tantervek/tematika/PTIBScABCTE/Szamitogepes_halozatok_ABCT_hun.pdf" TargetMode="External"/><Relationship Id="rId59" Type="http://schemas.openxmlformats.org/officeDocument/2006/relationships/printerSettings" Target="../printerSettings/printerSettings2.bin"/><Relationship Id="rId2" Type="http://schemas.openxmlformats.org/officeDocument/2006/relationships/hyperlink" Target="http://www.inf.elte.hu/karunkrol/oktatas/tantervek/tematika/PTIBScABCTE/Analizis_1_ABCT_hun.pdf" TargetMode="External"/><Relationship Id="rId16" Type="http://schemas.openxmlformats.org/officeDocument/2006/relationships/hyperlink" Target="http://www.inf.elte.hu/karunkrol/oktatas/tantervek/tematika/PTIBScABCTE/Diszkret_matematika_1_ABCT_hun.pdf" TargetMode="External"/><Relationship Id="rId20" Type="http://schemas.openxmlformats.org/officeDocument/2006/relationships/hyperlink" Target="http://www.inf.elte.hu/karunkrol/oktatas/tantervek/tematika/PTIBScABCTE/Linearis_algebra_ABC_hun.pdf" TargetMode="External"/><Relationship Id="rId29" Type="http://schemas.openxmlformats.org/officeDocument/2006/relationships/hyperlink" Target="http://www.inf.elte.hu/karunkrol/oktatas/tantervek/tematika/PTIBScABCTE/Algoritmusok_es_adatszerkezetek_1_ABC_hun.pdf" TargetMode="External"/><Relationship Id="rId41" Type="http://schemas.openxmlformats.org/officeDocument/2006/relationships/hyperlink" Target="http://www.inf.elte.hu/karunkrol/oktatas/tantervek/tematika/PTIBScABCTE/Forditoprogramok_ABCT_hun.pdf" TargetMode="External"/><Relationship Id="rId54" Type="http://schemas.openxmlformats.org/officeDocument/2006/relationships/hyperlink" Target="http://www.inf.elte.hu/karunkrol/oktatas/tantervek/tematika/PTIBScABCTE/Kozgazdasagi_alapismeretek_ABC_hun.pdf" TargetMode="External"/><Relationship Id="rId1" Type="http://schemas.openxmlformats.org/officeDocument/2006/relationships/hyperlink" Target="http://www.inf.elte.hu/karunkrol/oktatas/tantervek/tematika/PTIBScABCTE/Matematikai_alapozas_ABCT_hun.pdf" TargetMode="External"/><Relationship Id="rId6" Type="http://schemas.openxmlformats.org/officeDocument/2006/relationships/hyperlink" Target="http://www.inf.elte.hu/karunkrol/oktatas/tantervek/tematika/PTIBScABCTE/Analizis_3_A_hun.pdf" TargetMode="External"/><Relationship Id="rId11" Type="http://schemas.openxmlformats.org/officeDocument/2006/relationships/hyperlink" Target="http://www.inf.elte.hu/karunkrol/oktatas/tantervek/tematika/PTIBScABCTE/Numerikus_modszerek_1_ABC_hun.pdf" TargetMode="External"/><Relationship Id="rId24" Type="http://schemas.openxmlformats.org/officeDocument/2006/relationships/hyperlink" Target="http://www.inf.elte.hu/karunkrol/oktatas/tantervek/tematika/PTIBScABCTE/Komputeralgebra_rendszerek_A_hun.pdf" TargetMode="External"/><Relationship Id="rId32" Type="http://schemas.openxmlformats.org/officeDocument/2006/relationships/hyperlink" Target="http://www.inf.elte.hu/karunkrol/oktatas/tantervek/tematika/PTIBScABCTE/Formalis_nyelvek_es_automatak_ABCE_hun.pdf" TargetMode="External"/><Relationship Id="rId37" Type="http://schemas.openxmlformats.org/officeDocument/2006/relationships/hyperlink" Target="http://www.inf.elte.hu/karunkrol/oktatas/tantervek/tematika/PTIBScABCTE/Programozas_AC_hun.pdf" TargetMode="External"/><Relationship Id="rId40" Type="http://schemas.openxmlformats.org/officeDocument/2006/relationships/hyperlink" Target="http://www.inf.elte.hu/karunkrol/oktatas/tantervek/tematika/PTIBScABCTE/Szoftvertechnologia_ABT_hun.pdf" TargetMode="External"/><Relationship Id="rId45" Type="http://schemas.openxmlformats.org/officeDocument/2006/relationships/hyperlink" Target="http://www.inf.elte.hu/karunkrol/oktatas/tantervek/tematika/PTIBScABCTE/Szamitogepes_halozatok_ABCT_hun.pdf" TargetMode="External"/><Relationship Id="rId53" Type="http://schemas.openxmlformats.org/officeDocument/2006/relationships/hyperlink" Target="http://www.inf.elte.hu/karunkrol/oktatas/tantervek/tematika/PTIBScABCTE/Szamitogepes_grafika_ACT_hun.pdf" TargetMode="External"/><Relationship Id="rId58" Type="http://schemas.openxmlformats.org/officeDocument/2006/relationships/hyperlink" Target="http://www.inf.elte.hu/karunkrol/oktatas/tantervek/Tantervihalok/PTI_BSc_2008_A.pdf" TargetMode="External"/><Relationship Id="rId5" Type="http://schemas.openxmlformats.org/officeDocument/2006/relationships/hyperlink" Target="http://www.inf.elte.hu/karunkrol/oktatas/tantervek/tematika/PTIBScABCTE/Analizis_2_ABC_hun.pdf" TargetMode="External"/><Relationship Id="rId15" Type="http://schemas.openxmlformats.org/officeDocument/2006/relationships/hyperlink" Target="http://www.inf.elte.hu/karunkrol/oktatas/tantervek/tematika/PTIBScABCTE/Diszkret_matematika_1_ABCT_hun.pdf" TargetMode="External"/><Relationship Id="rId23" Type="http://schemas.openxmlformats.org/officeDocument/2006/relationships/hyperlink" Target="http://www.inf.elte.hu/karunkrol/oktatas/tantervek/tematika/PTIBScABCTE/Matematikai_statisztika_A_hun.pdf" TargetMode="External"/><Relationship Id="rId28" Type="http://schemas.openxmlformats.org/officeDocument/2006/relationships/hyperlink" Target="http://www.inf.elte.hu/karunkrol/oktatas/tantervek/tematika/PTIBScABCTE/Algoritmusok_es_adatszerkezetek_1_ABC_hun.pdf" TargetMode="External"/><Relationship Id="rId36" Type="http://schemas.openxmlformats.org/officeDocument/2006/relationships/hyperlink" Target="http://www.inf.elte.hu/karunkrol/oktatas/tantervek/tematika/PTIBScABCTE/Szamitogepes_alapismeretek_ABCT_hun.pdf" TargetMode="External"/><Relationship Id="rId49" Type="http://schemas.openxmlformats.org/officeDocument/2006/relationships/hyperlink" Target="http://www.inf.elte.hu/karunkrol/oktatas/tantervek/tematika/PTIBScABCTE/Adatbazisok_1_ABCT_hun.pdf" TargetMode="External"/><Relationship Id="rId57" Type="http://schemas.openxmlformats.org/officeDocument/2006/relationships/hyperlink" Target="http://www.inf.elte.hu/karunkrol/szervezet/dekanihivatal/to/hirek/Lapok/Aszakdolgozatdiplomakonzult%C3%A1ci%C3%B3rendje.aspx" TargetMode="External"/><Relationship Id="rId10" Type="http://schemas.openxmlformats.org/officeDocument/2006/relationships/hyperlink" Target="http://www.inf.elte.hu/karunkrol/oktatas/tantervek/tematika/PTIBScABCTE/Numerikus_modszerek_1_ABC_hun.pdf" TargetMode="External"/><Relationship Id="rId19" Type="http://schemas.openxmlformats.org/officeDocument/2006/relationships/hyperlink" Target="http://www.inf.elte.hu/karunkrol/oktatas/tantervek/tematika/PTIBScABCTE/Linearis_algebra_ABC_hun.pdf" TargetMode="External"/><Relationship Id="rId31" Type="http://schemas.openxmlformats.org/officeDocument/2006/relationships/hyperlink" Target="http://www.inf.elte.hu/karunkrol/oktatas/tantervek/tematika/PTIBScABCTE/Algoritmusok_es_adatszerkezetek_2_ABCT_hun.pdf" TargetMode="External"/><Relationship Id="rId44" Type="http://schemas.openxmlformats.org/officeDocument/2006/relationships/hyperlink" Target="http://www.inf.elte.hu/karunkrol/oktatas/tantervek/tematika/PTIBScABCTE/Operacios_rendszerek_ABCE_hun.pdf" TargetMode="External"/><Relationship Id="rId52" Type="http://schemas.openxmlformats.org/officeDocument/2006/relationships/hyperlink" Target="http://www.inf.elte.hu/karunkrol/oktatas/tantervek/tematika/PTIBScABCTE/Szamitogepes_grafika_ACT_hun.pdf" TargetMode="External"/><Relationship Id="rId4" Type="http://schemas.openxmlformats.org/officeDocument/2006/relationships/hyperlink" Target="http://www.inf.elte.hu/karunkrol/oktatas/tantervek/tematika/PTIBScABCTE/Analizis_2_ABC_hun.pdf" TargetMode="External"/><Relationship Id="rId9" Type="http://schemas.openxmlformats.org/officeDocument/2006/relationships/hyperlink" Target="http://www.inf.elte.hu/karunkrol/oktatas/tantervek/tematika/PTIBScABCTE/Az_analizis_alkalmazasai_A_hun.pdf" TargetMode="External"/><Relationship Id="rId14" Type="http://schemas.openxmlformats.org/officeDocument/2006/relationships/hyperlink" Target="http://www.inf.elte.hu/karunkrol/oktatas/tantervek/tematika/PTIBScABCTE/Numerikus_algoritmusok_A_hun.pdf" TargetMode="External"/><Relationship Id="rId22" Type="http://schemas.openxmlformats.org/officeDocument/2006/relationships/hyperlink" Target="http://www.inf.elte.hu/karunkrol/oktatas/tantervek/tematika/PTIBScABCTE/Valoszinusegszamitas_A_hun.pdf" TargetMode="External"/><Relationship Id="rId27" Type="http://schemas.openxmlformats.org/officeDocument/2006/relationships/hyperlink" Target="http://www.inf.elte.hu/karunkrol/oktatas/tantervek/tematika/PTIBScABCTE/Logika_es_szamitaselmelet_ABCT_hun.pdf" TargetMode="External"/><Relationship Id="rId30" Type="http://schemas.openxmlformats.org/officeDocument/2006/relationships/hyperlink" Target="http://www.inf.elte.hu/karunkrol/oktatas/tantervek/tematika/PTIBScABCTE/Algoritmusok_es_adatszerkezetek_2_ABCT_hun.pdf" TargetMode="External"/><Relationship Id="rId35" Type="http://schemas.openxmlformats.org/officeDocument/2006/relationships/hyperlink" Target="http://www.inf.elte.hu/karunkrol/oktatas/tantervek/tematika/PTIBScABCTE/Programozasi_alapismeretek_ABCT_hun.pdf" TargetMode="External"/><Relationship Id="rId43" Type="http://schemas.openxmlformats.org/officeDocument/2006/relationships/hyperlink" Target="http://www.inf.elte.hu/karunkrol/oktatas/tantervek/tematika/PTIBScABCTE/Objektumelvu_alkalmazasok_fejlesztese_ABT_hun.pdf" TargetMode="External"/><Relationship Id="rId48" Type="http://schemas.openxmlformats.org/officeDocument/2006/relationships/hyperlink" Target="http://www.inf.elte.hu/karunkrol/oktatas/tantervek/tematika/PTIBScABCTE/Adatbazisok_1_ABCT_hun.pdf" TargetMode="External"/><Relationship Id="rId56" Type="http://schemas.openxmlformats.org/officeDocument/2006/relationships/hyperlink" Target="http://www.inf.elte.hu/hallgatok/bscszakmaigyak/Lapok/default.aspx" TargetMode="External"/><Relationship Id="rId8" Type="http://schemas.openxmlformats.org/officeDocument/2006/relationships/hyperlink" Target="http://www.inf.elte.hu/karunkrol/oktatas/tantervek/tematika/PTIBScABCTE/Az_analizis_alkalmazasai_A_hun.pdf" TargetMode="External"/><Relationship Id="rId51" Type="http://schemas.openxmlformats.org/officeDocument/2006/relationships/hyperlink" Target="http://www.inf.elte.hu/karunkrol/oktatas/tantervek/tematika/PTIBScABCTE/Adatbazisok_2_ABT_hun.pdf" TargetMode="External"/><Relationship Id="rId3" Type="http://schemas.openxmlformats.org/officeDocument/2006/relationships/hyperlink" Target="http://www.inf.elte.hu/karunkrol/oktatas/tantervek/tematika/PTIBScABCTE/Analizis_1_ABCT_hun.pdf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inf.elte.hu/karunkrol/oktatas/tantervek/tematika/PTIBScABCTE/Diszkret_matematika_1_ABCT_hun.pdf" TargetMode="External"/><Relationship Id="rId18" Type="http://schemas.openxmlformats.org/officeDocument/2006/relationships/hyperlink" Target="http://www.inf.elte.hu/karunkrol/oktatas/tantervek/tematika/PTIBScABCTE/Valoszinusegszamitas_es_statisztika_BC_hun.pdf" TargetMode="External"/><Relationship Id="rId26" Type="http://schemas.openxmlformats.org/officeDocument/2006/relationships/hyperlink" Target="http://www.inf.elte.hu/karunkrol/oktatas/tantervek/tematika/PTIBScABCTE/Formalis_nyelvek_es_automatak_ABCE_hun.pdf" TargetMode="External"/><Relationship Id="rId39" Type="http://schemas.openxmlformats.org/officeDocument/2006/relationships/hyperlink" Target="http://www.inf.elte.hu/karunkrol/oktatas/tantervek/tematika/PTIBScABCTE/Szoftvertechnologia_ABT_hun.pdf" TargetMode="External"/><Relationship Id="rId21" Type="http://schemas.openxmlformats.org/officeDocument/2006/relationships/hyperlink" Target="http://www.inf.elte.hu/karunkrol/oktatas/tantervek/tematika/PTIBScABCTE/Logika_es_szamitaselmelet_ABCT_hun.pdf" TargetMode="External"/><Relationship Id="rId34" Type="http://schemas.openxmlformats.org/officeDocument/2006/relationships/hyperlink" Target="http://www.inf.elte.hu/karunkrol/oktatas/tantervek/tematika/PTIBScABCTE/Programozas_modszertani_alapjai_2_BT_hun.pdf" TargetMode="External"/><Relationship Id="rId42" Type="http://schemas.openxmlformats.org/officeDocument/2006/relationships/hyperlink" Target="http://www.inf.elte.hu/karunkrol/oktatas/tantervek/tematika/PTIBScABCTE/Objektumelvu_alkalmazasok_fejlesztese_ABT_hun.pdf" TargetMode="External"/><Relationship Id="rId47" Type="http://schemas.openxmlformats.org/officeDocument/2006/relationships/hyperlink" Target="http://www.inf.elte.hu/karunkrol/oktatas/tantervek/tematika/PTIBScABCTE/Szamitogepes_halozatok_ABCT_hun.pdf" TargetMode="External"/><Relationship Id="rId50" Type="http://schemas.openxmlformats.org/officeDocument/2006/relationships/hyperlink" Target="http://www.inf.elte.hu/karunkrol/oktatas/tantervek/tematika/PTIBScABCTE/Osztott_rendszerek_specifikacioja_es_implementacioja_B_hun.pdf" TargetMode="External"/><Relationship Id="rId55" Type="http://schemas.openxmlformats.org/officeDocument/2006/relationships/hyperlink" Target="http://www.inf.elte.hu/karunkrol/oktatas/tantervek/tematika/PTIBScABCTE/Kozgazdasagi_alapismeretek_ABC_hun.pdf" TargetMode="External"/><Relationship Id="rId7" Type="http://schemas.openxmlformats.org/officeDocument/2006/relationships/hyperlink" Target="http://www.inf.elte.hu/karunkrol/oktatas/tantervek/tematika/PTIBScABCTE/Analizis_3_BCE_hun.pdf" TargetMode="External"/><Relationship Id="rId12" Type="http://schemas.openxmlformats.org/officeDocument/2006/relationships/hyperlink" Target="http://www.inf.elte.hu/karunkrol/oktatas/tantervek/tematika/PTIBScABCTE/Diszkret_matematika_1_ABCT_hun.pdf" TargetMode="External"/><Relationship Id="rId17" Type="http://schemas.openxmlformats.org/officeDocument/2006/relationships/hyperlink" Target="http://www.inf.elte.hu/karunkrol/oktatas/tantervek/tematika/PTIBScABCTE/Linearis_algebra_ABC_hun.pdf" TargetMode="External"/><Relationship Id="rId25" Type="http://schemas.openxmlformats.org/officeDocument/2006/relationships/hyperlink" Target="http://www.inf.elte.hu/karunkrol/oktatas/tantervek/tematika/PTIBScABCTE/Algoritmusok_es_adatszerkezetek_2_ABCT_hun.pdf" TargetMode="External"/><Relationship Id="rId33" Type="http://schemas.openxmlformats.org/officeDocument/2006/relationships/hyperlink" Target="http://www.inf.elte.hu/karunkrol/oktatas/tantervek/tematika/PTIBScABCTE/Programozas_modszertani_alapjai_1_BT_hun.pdf" TargetMode="External"/><Relationship Id="rId38" Type="http://schemas.openxmlformats.org/officeDocument/2006/relationships/hyperlink" Target="http://www.inf.elte.hu/karunkrol/oktatas/tantervek/tematika/PTIBScABCTE/Funkcionalis_programozas_BT_hun.pdf" TargetMode="External"/><Relationship Id="rId46" Type="http://schemas.openxmlformats.org/officeDocument/2006/relationships/hyperlink" Target="http://www.inf.elte.hu/karunkrol/oktatas/tantervek/tematika/PTIBScABCTE/Operacios_rendszerek_ABCE_hun.pdf" TargetMode="External"/><Relationship Id="rId59" Type="http://schemas.openxmlformats.org/officeDocument/2006/relationships/hyperlink" Target="http://www.inf.elte.hu/karunkrol/oktatas/tantervek/Tantervihalok/PTI_BSc_2008_B.pdf" TargetMode="External"/><Relationship Id="rId2" Type="http://schemas.openxmlformats.org/officeDocument/2006/relationships/hyperlink" Target="http://www.inf.elte.hu/karunkrol/oktatas/tantervek/tematika/PTIBScABCTE/Matematikai_alapozas_ABCT_hun.pdf" TargetMode="External"/><Relationship Id="rId16" Type="http://schemas.openxmlformats.org/officeDocument/2006/relationships/hyperlink" Target="http://www.inf.elte.hu/karunkrol/oktatas/tantervek/tematika/PTIBScABCTE/Linearis_algebra_ABC_hun.pdf" TargetMode="External"/><Relationship Id="rId20" Type="http://schemas.openxmlformats.org/officeDocument/2006/relationships/hyperlink" Target="http://www.inf.elte.hu/karunkrol/oktatas/tantervek/tematika/PTIBScABCTE/Logika_es_szamitaselmelet_ABCT_hun.pdf" TargetMode="External"/><Relationship Id="rId29" Type="http://schemas.openxmlformats.org/officeDocument/2006/relationships/hyperlink" Target="http://www.inf.elte.hu/karunkrol/oktatas/tantervek/tematika/PTIBScABCTE/Programozasi_alapismeretek_ABCT_hun.pdf" TargetMode="External"/><Relationship Id="rId41" Type="http://schemas.openxmlformats.org/officeDocument/2006/relationships/hyperlink" Target="http://www.inf.elte.hu/karunkrol/oktatas/tantervek/tematika/PTIBScABCTE/Forditoprogramok_ABCT_hun.pdf" TargetMode="External"/><Relationship Id="rId54" Type="http://schemas.openxmlformats.org/officeDocument/2006/relationships/hyperlink" Target="http://www.inf.elte.hu/karunkrol/oktatas/tantervek/tematika/PTIBScABCTE/Adatbazisok_2_ABT_hun.pdf" TargetMode="External"/><Relationship Id="rId1" Type="http://schemas.openxmlformats.org/officeDocument/2006/relationships/hyperlink" Target="http://www.inf.elte.hu/karunkrol/oktatas/tantervek/tematika/PTIBScABCTE/Komputeralgebra_rendszerek_A_hun.pdf" TargetMode="External"/><Relationship Id="rId6" Type="http://schemas.openxmlformats.org/officeDocument/2006/relationships/hyperlink" Target="http://www.inf.elte.hu/karunkrol/oktatas/tantervek/tematika/PTIBScABCTE/Analizis_2_ABC_hun.pdf" TargetMode="External"/><Relationship Id="rId11" Type="http://schemas.openxmlformats.org/officeDocument/2006/relationships/hyperlink" Target="http://www.inf.elte.hu/karunkrol/oktatas/tantervek/tematika/PTIBScABCTE/Modellek_es_algoritmusok_B_hun.pdf" TargetMode="External"/><Relationship Id="rId24" Type="http://schemas.openxmlformats.org/officeDocument/2006/relationships/hyperlink" Target="http://www.inf.elte.hu/karunkrol/oktatas/tantervek/tematika/PTIBScABCTE/Algoritmusok_es_adatszerkezetek_2_ABCT_hun.pdf" TargetMode="External"/><Relationship Id="rId32" Type="http://schemas.openxmlformats.org/officeDocument/2006/relationships/hyperlink" Target="http://www.inf.elte.hu/karunkrol/oktatas/tantervek/tematika/PTIBScABCTE/Programozas_modszertani_alapjai_1_BT_hun.pdf" TargetMode="External"/><Relationship Id="rId37" Type="http://schemas.openxmlformats.org/officeDocument/2006/relationships/hyperlink" Target="http://www.inf.elte.hu/karunkrol/oktatas/tantervek/tematika/PTIBScABCTE/Programozasi_nyelvek_(ADA)_AB_hun.pdf" TargetMode="External"/><Relationship Id="rId40" Type="http://schemas.openxmlformats.org/officeDocument/2006/relationships/hyperlink" Target="http://www.inf.elte.hu/karunkrol/oktatas/tantervek/tematika/PTIBScABCTE/Forditoprogramok_ABCT_hun.pdf" TargetMode="External"/><Relationship Id="rId45" Type="http://schemas.openxmlformats.org/officeDocument/2006/relationships/hyperlink" Target="http://www.inf.elte.hu/karunkrol/oktatas/tantervek/tematika/PTIBScABCTE/Webes_alkalmazasok_fejlesztese_B_hun.pdf" TargetMode="External"/><Relationship Id="rId53" Type="http://schemas.openxmlformats.org/officeDocument/2006/relationships/hyperlink" Target="http://www.inf.elte.hu/karunkrol/oktatas/tantervek/tematika/PTIBScABCTE/Adatbazisok_2_ABT_hun.pdf" TargetMode="External"/><Relationship Id="rId58" Type="http://schemas.openxmlformats.org/officeDocument/2006/relationships/hyperlink" Target="http://www.inf.elte.hu/karunkrol/szervezet/dekanihivatal/to/hirek/Lapok/Aszakdolgozatdiplomakonzult%C3%A1ci%C3%B3rendje.aspx" TargetMode="External"/><Relationship Id="rId5" Type="http://schemas.openxmlformats.org/officeDocument/2006/relationships/hyperlink" Target="http://www.inf.elte.hu/karunkrol/oktatas/tantervek/tematika/PTIBScABCTE/Analizis_2_ABC_hun.pdf" TargetMode="External"/><Relationship Id="rId15" Type="http://schemas.openxmlformats.org/officeDocument/2006/relationships/hyperlink" Target="http://www.inf.elte.hu/karunkrol/oktatas/tantervek/tematika/PTIBScABCTE/Diszkret_matematika_2_ABC_hun.pdf" TargetMode="External"/><Relationship Id="rId23" Type="http://schemas.openxmlformats.org/officeDocument/2006/relationships/hyperlink" Target="http://www.inf.elte.hu/karunkrol/oktatas/tantervek/tematika/PTIBScABCTE/Algoritmusok_es_adatszerkezetek_1_ABC_hun.pdf" TargetMode="External"/><Relationship Id="rId28" Type="http://schemas.openxmlformats.org/officeDocument/2006/relationships/hyperlink" Target="http://www.inf.elte.hu/karunkrol/oktatas/tantervek/tematika/PTIBScABCTE/Mesterseges_intelligencia_ABCTE_hun.pdf" TargetMode="External"/><Relationship Id="rId36" Type="http://schemas.openxmlformats.org/officeDocument/2006/relationships/hyperlink" Target="http://www.inf.elte.hu/karunkrol/oktatas/tantervek/tematika/PTIBScABCTE/Programozasi_nyelvek_(C)_BCTE_hun.pdf" TargetMode="External"/><Relationship Id="rId49" Type="http://schemas.openxmlformats.org/officeDocument/2006/relationships/hyperlink" Target="http://www.inf.elte.hu/karunkrol/oktatas/tantervek/tematika/PTIBScABCTE/Osztott_rendszerek_specifikacioja_es_implementacioja_B_hun.pdf" TargetMode="External"/><Relationship Id="rId57" Type="http://schemas.openxmlformats.org/officeDocument/2006/relationships/hyperlink" Target="http://www.inf.elte.hu/hallgatok/bscszakmaigyak/Lapok/default.aspx" TargetMode="External"/><Relationship Id="rId10" Type="http://schemas.openxmlformats.org/officeDocument/2006/relationships/hyperlink" Target="http://www.inf.elte.hu/karunkrol/oktatas/tantervek/tematika/PTIBScABCTE/Numerikus_modszerek_2_B_hun.pdf" TargetMode="External"/><Relationship Id="rId19" Type="http://schemas.openxmlformats.org/officeDocument/2006/relationships/hyperlink" Target="http://www.inf.elte.hu/karunkrol/oktatas/tantervek/tematika/PTIBScABCTE/Valoszinusegszamitas_es_statisztika_BC_hun.pdf" TargetMode="External"/><Relationship Id="rId31" Type="http://schemas.openxmlformats.org/officeDocument/2006/relationships/hyperlink" Target="http://www.inf.elte.hu/karunkrol/oktatas/tantervek/tematika/PTIBScABCTE/Programozas_BT_hun.pdf" TargetMode="External"/><Relationship Id="rId44" Type="http://schemas.openxmlformats.org/officeDocument/2006/relationships/hyperlink" Target="http://www.inf.elte.hu/karunkrol/oktatas/tantervek/tematika/PTIBScABCTE/Esemenyvezerelt_alkalmazasok_fejlesztese_2_B_hun.pdf" TargetMode="External"/><Relationship Id="rId52" Type="http://schemas.openxmlformats.org/officeDocument/2006/relationships/hyperlink" Target="http://www.inf.elte.hu/karunkrol/oktatas/tantervek/tematika/PTIBScABCTE/Adatbazisok_1_ABCT_hun.pdf" TargetMode="External"/><Relationship Id="rId4" Type="http://schemas.openxmlformats.org/officeDocument/2006/relationships/hyperlink" Target="http://www.inf.elte.hu/karunkrol/oktatas/tantervek/tematika/PTIBScABCTE/Analizis_1_ABCT_hun.pdf" TargetMode="External"/><Relationship Id="rId9" Type="http://schemas.openxmlformats.org/officeDocument/2006/relationships/hyperlink" Target="http://www.inf.elte.hu/karunkrol/oktatas/tantervek/tematika/PTIBScABCTE/Numerikus_modszerek_1_ABC_hun.pdf" TargetMode="External"/><Relationship Id="rId14" Type="http://schemas.openxmlformats.org/officeDocument/2006/relationships/hyperlink" Target="http://www.inf.elte.hu/karunkrol/oktatas/tantervek/tematika/PTIBScABCTE/Diszkret_matematika_2_ABC_hun.pdf" TargetMode="External"/><Relationship Id="rId22" Type="http://schemas.openxmlformats.org/officeDocument/2006/relationships/hyperlink" Target="http://www.inf.elte.hu/karunkrol/oktatas/tantervek/tematika/PTIBScABCTE/Algoritmusok_es_adatszerkezetek_1_ABC_hun.pdf" TargetMode="External"/><Relationship Id="rId27" Type="http://schemas.openxmlformats.org/officeDocument/2006/relationships/hyperlink" Target="http://www.inf.elte.hu/karunkrol/oktatas/tantervek/tematika/PTIBScABCTE/Formalis_nyelvek_es_automatak_ABCE_hun.pdf" TargetMode="External"/><Relationship Id="rId30" Type="http://schemas.openxmlformats.org/officeDocument/2006/relationships/hyperlink" Target="http://www.inf.elte.hu/karunkrol/oktatas/tantervek/tematika/PTIBScABCTE/Szamitogepes_alapismeretek_ABCT_hun.pdf" TargetMode="External"/><Relationship Id="rId35" Type="http://schemas.openxmlformats.org/officeDocument/2006/relationships/hyperlink" Target="http://www.inf.elte.hu/karunkrol/oktatas/tantervek/tematika/PTIBScABCTE/Programozas_modszertani_alapjai_2_BT_hun.pdf" TargetMode="External"/><Relationship Id="rId43" Type="http://schemas.openxmlformats.org/officeDocument/2006/relationships/hyperlink" Target="http://www.inf.elte.hu/karunkrol/oktatas/tantervek/tematika/PTIBScABCTE/Esemenyvezerelt_alkalmazasok_fejlesztese_1_B_hun.pdf" TargetMode="External"/><Relationship Id="rId48" Type="http://schemas.openxmlformats.org/officeDocument/2006/relationships/hyperlink" Target="http://www.inf.elte.hu/karunkrol/oktatas/tantervek/tematika/PTIBScABCTE/Szamitogepes_halozatok_ABCT_hun.pdf" TargetMode="External"/><Relationship Id="rId56" Type="http://schemas.openxmlformats.org/officeDocument/2006/relationships/hyperlink" Target="http://www.inf.elte.hu/karunkrol/oktatas/tantervek/tematika/PTIBScABCTE/Jogi_es_menedzsment_alapismeretek_ABC_hun.pdf" TargetMode="External"/><Relationship Id="rId8" Type="http://schemas.openxmlformats.org/officeDocument/2006/relationships/hyperlink" Target="http://www.inf.elte.hu/karunkrol/oktatas/tantervek/tematika/PTIBScABCTE/Numerikus_modszerek_1_ABC_hun.pdf" TargetMode="External"/><Relationship Id="rId51" Type="http://schemas.openxmlformats.org/officeDocument/2006/relationships/hyperlink" Target="http://www.inf.elte.hu/karunkrol/oktatas/tantervek/tematika/PTIBScABCTE/Adatbazisok_1_ABCT_hun.pdf" TargetMode="External"/><Relationship Id="rId3" Type="http://schemas.openxmlformats.org/officeDocument/2006/relationships/hyperlink" Target="http://www.inf.elte.hu/karunkrol/oktatas/tantervek/tematika/PTIBScABCTE/Analizis_1_ABCT_hun.pdf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inf.elte.hu/karunkrol/oktatas/tantervek/tematika/PTIBScABCTE/Diszkret_matematika_1_ABCT_hun.pdf" TargetMode="External"/><Relationship Id="rId18" Type="http://schemas.openxmlformats.org/officeDocument/2006/relationships/hyperlink" Target="http://www.inf.elte.hu/karunkrol/oktatas/tantervek/tematika/PTIBScABCTE/Valoszinusegszamitas_es_statisztika_BC_hun.pdf" TargetMode="External"/><Relationship Id="rId26" Type="http://schemas.openxmlformats.org/officeDocument/2006/relationships/hyperlink" Target="http://www.inf.elte.hu/karunkrol/oktatas/tantervek/tematika/PTIBScABCTE/Formalis_nyelvek_es_automatak_ABCE_hun.pdf" TargetMode="External"/><Relationship Id="rId39" Type="http://schemas.openxmlformats.org/officeDocument/2006/relationships/hyperlink" Target="http://www.inf.elte.hu/karunkrol/oktatas/tantervek/tematika/PTIBScABCTE/Alkalmazasok_fejlesztese_C_hun.pdf" TargetMode="External"/><Relationship Id="rId21" Type="http://schemas.openxmlformats.org/officeDocument/2006/relationships/hyperlink" Target="http://www.inf.elte.hu/karunkrol/oktatas/tantervek/tematika/PTIBScABCTE/Logika_es_szamitaselmelet_ABCT_hun.pdf" TargetMode="External"/><Relationship Id="rId34" Type="http://schemas.openxmlformats.org/officeDocument/2006/relationships/hyperlink" Target="http://www.inf.elte.hu/karunkrol/oktatas/tantervek/tematika/PTIBScABCTE/Scriptnyelvek_C_hun.pdf" TargetMode="External"/><Relationship Id="rId42" Type="http://schemas.openxmlformats.org/officeDocument/2006/relationships/hyperlink" Target="http://www.inf.elte.hu/karunkrol/oktatas/tantervek/tematika/PTIBScABCTE/Szamitogepes_halozatok_ABCT_hun.pdf" TargetMode="External"/><Relationship Id="rId47" Type="http://schemas.openxmlformats.org/officeDocument/2006/relationships/hyperlink" Target="http://www.inf.elte.hu/karunkrol/oktatas/tantervek/tematika/PTIBScABCTE/Adatbazisok_1_ABCT_hun.pdf" TargetMode="External"/><Relationship Id="rId50" Type="http://schemas.openxmlformats.org/officeDocument/2006/relationships/hyperlink" Target="http://www.inf.elte.hu/karunkrol/oktatas/tantervek/tematika/PTIBScABCTE/Szamitogepes_grafika_ACT_hun.pdf" TargetMode="External"/><Relationship Id="rId55" Type="http://schemas.openxmlformats.org/officeDocument/2006/relationships/hyperlink" Target="http://www.inf.elte.hu/karunkrol/szervezet/dekanihivatal/to/hirek/Lapok/Aszakdolgozatdiplomakonzult%C3%A1ci%C3%B3rendje.aspx" TargetMode="External"/><Relationship Id="rId7" Type="http://schemas.openxmlformats.org/officeDocument/2006/relationships/hyperlink" Target="http://www.inf.elte.hu/karunkrol/oktatas/tantervek/tematika/PTIBScABCTE/Analizis_3_BCE_hun.pdf" TargetMode="External"/><Relationship Id="rId12" Type="http://schemas.openxmlformats.org/officeDocument/2006/relationships/hyperlink" Target="http://www.inf.elte.hu/karunkrol/oktatas/tantervek/tematika/PTIBScABCTE/Diszkret_matematika_1_ABCT_hun.pdf" TargetMode="External"/><Relationship Id="rId17" Type="http://schemas.openxmlformats.org/officeDocument/2006/relationships/hyperlink" Target="http://www.inf.elte.hu/karunkrol/oktatas/tantervek/tematika/PTIBScABCTE/Linearis_algebra_ABC_hun.pdf" TargetMode="External"/><Relationship Id="rId25" Type="http://schemas.openxmlformats.org/officeDocument/2006/relationships/hyperlink" Target="http://www.inf.elte.hu/karunkrol/oktatas/tantervek/tematika/PTIBScABCTE/Algoritmusok_es_adatszerkezetek_2_ABCT_hun.pdf" TargetMode="External"/><Relationship Id="rId33" Type="http://schemas.openxmlformats.org/officeDocument/2006/relationships/hyperlink" Target="http://www.inf.elte.hu/karunkrol/oktatas/tantervek/tematika/PTIBScABCTE/Programozasi_nyelvek_(JAVA)_CT_hun.pdf" TargetMode="External"/><Relationship Id="rId38" Type="http://schemas.openxmlformats.org/officeDocument/2006/relationships/hyperlink" Target="http://www.inf.elte.hu/karunkrol/oktatas/tantervek/tematika/PTIBScABCTE/Forditoprogramok_ABCT_hun.pdf" TargetMode="External"/><Relationship Id="rId46" Type="http://schemas.openxmlformats.org/officeDocument/2006/relationships/hyperlink" Target="http://www.inf.elte.hu/karunkrol/oktatas/tantervek/tematika/PTIBScABCTE/Adatbazisok_1_ABCT_hun.pdf" TargetMode="External"/><Relationship Id="rId2" Type="http://schemas.openxmlformats.org/officeDocument/2006/relationships/hyperlink" Target="http://www.inf.elte.hu/karunkrol/oktatas/tantervek/tematika/PTIBScABCTE/Matematikai_alapozas_ABCT_hun.pdf" TargetMode="External"/><Relationship Id="rId16" Type="http://schemas.openxmlformats.org/officeDocument/2006/relationships/hyperlink" Target="http://www.inf.elte.hu/karunkrol/oktatas/tantervek/tematika/PTIBScABCTE/Linearis_algebra_ABC_hun.pdf" TargetMode="External"/><Relationship Id="rId20" Type="http://schemas.openxmlformats.org/officeDocument/2006/relationships/hyperlink" Target="http://www.inf.elte.hu/karunkrol/oktatas/tantervek/tematika/PTIBScABCTE/Logika_es_szamitaselmelet_ABCT_hun.pdf" TargetMode="External"/><Relationship Id="rId29" Type="http://schemas.openxmlformats.org/officeDocument/2006/relationships/hyperlink" Target="http://www.inf.elte.hu/karunkrol/oktatas/tantervek/tematika/PTIBScABCTE/Programozasi_alapismeretek_ABCT_hun.pdf" TargetMode="External"/><Relationship Id="rId41" Type="http://schemas.openxmlformats.org/officeDocument/2006/relationships/hyperlink" Target="http://www.inf.elte.hu/karunkrol/oktatas/tantervek/tematika/PTIBScABCTE/Operacios_rendszerek_ABCE_hun.pdf" TargetMode="External"/><Relationship Id="rId54" Type="http://schemas.openxmlformats.org/officeDocument/2006/relationships/hyperlink" Target="http://www.inf.elte.hu/hallgatok/bscszakmaigyak/Lapok/default.aspx" TargetMode="External"/><Relationship Id="rId1" Type="http://schemas.openxmlformats.org/officeDocument/2006/relationships/hyperlink" Target="http://www.inf.elte.hu/karunkrol/oktatas/tantervek/tematika/PTIBScABCTE/Komputeralgebra_rendszerek_A_hun.pdf" TargetMode="External"/><Relationship Id="rId6" Type="http://schemas.openxmlformats.org/officeDocument/2006/relationships/hyperlink" Target="http://www.inf.elte.hu/karunkrol/oktatas/tantervek/tematika/PTIBScABCTE/Analizis_2_ABC_hun.pdf" TargetMode="External"/><Relationship Id="rId11" Type="http://schemas.openxmlformats.org/officeDocument/2006/relationships/hyperlink" Target="http://www.inf.elte.hu/karunkrol/oktatas/tantervek/tematika/PTIBScABCTE/Modellek_es_algoritmusok_CE_hun.pdf" TargetMode="External"/><Relationship Id="rId24" Type="http://schemas.openxmlformats.org/officeDocument/2006/relationships/hyperlink" Target="http://www.inf.elte.hu/karunkrol/oktatas/tantervek/tematika/PTIBScABCTE/Algoritmusok_es_adatszerkezetek_2_ABCT_hun.pdf" TargetMode="External"/><Relationship Id="rId32" Type="http://schemas.openxmlformats.org/officeDocument/2006/relationships/hyperlink" Target="http://www.inf.elte.hu/karunkrol/oktatas/tantervek/tematika/PTIBScABCTE/Programozasi_nyelvek_(C)_BCTE_hun.pdf" TargetMode="External"/><Relationship Id="rId37" Type="http://schemas.openxmlformats.org/officeDocument/2006/relationships/hyperlink" Target="http://www.inf.elte.hu/karunkrol/oktatas/tantervek/tematika/PTIBScABCTE/Forditoprogramok_ABCT_hun.pdf" TargetMode="External"/><Relationship Id="rId40" Type="http://schemas.openxmlformats.org/officeDocument/2006/relationships/hyperlink" Target="http://www.inf.elte.hu/karunkrol/oktatas/tantervek/tematika/PTIBScABCTE/Projekteszkozok_C_hun.pdf" TargetMode="External"/><Relationship Id="rId45" Type="http://schemas.openxmlformats.org/officeDocument/2006/relationships/hyperlink" Target="http://www.inf.elte.hu/karunkrol/oktatas/tantervek/tematika/PTIBScABCTE/Osztott_rendszerek_C_hun.pdf" TargetMode="External"/><Relationship Id="rId53" Type="http://schemas.openxmlformats.org/officeDocument/2006/relationships/hyperlink" Target="http://www.inf.elte.hu/karunkrol/oktatas/tantervek/tematika/PTIBScABCTE/Jogi_es_menedzsment_alapismeretek_ABC_hun.pdf" TargetMode="External"/><Relationship Id="rId5" Type="http://schemas.openxmlformats.org/officeDocument/2006/relationships/hyperlink" Target="http://www.inf.elte.hu/karunkrol/oktatas/tantervek/tematika/PTIBScABCTE/Analizis_2_ABC_hun.pdf" TargetMode="External"/><Relationship Id="rId15" Type="http://schemas.openxmlformats.org/officeDocument/2006/relationships/hyperlink" Target="http://www.inf.elte.hu/karunkrol/oktatas/tantervek/tematika/PTIBScABCTE/Diszkret_matematika_2_ABC_hun.pdf" TargetMode="External"/><Relationship Id="rId23" Type="http://schemas.openxmlformats.org/officeDocument/2006/relationships/hyperlink" Target="http://www.inf.elte.hu/karunkrol/oktatas/tantervek/tematika/PTIBScABCTE/Algoritmusok_es_adatszerkezetek_1_ABC_hun.pdf" TargetMode="External"/><Relationship Id="rId28" Type="http://schemas.openxmlformats.org/officeDocument/2006/relationships/hyperlink" Target="http://www.inf.elte.hu/karunkrol/oktatas/tantervek/tematika/PTIBScABCTE/Mesterseges_intelligencia_ABCTE_hun.pdf" TargetMode="External"/><Relationship Id="rId36" Type="http://schemas.openxmlformats.org/officeDocument/2006/relationships/hyperlink" Target="http://www.inf.elte.hu/karunkrol/oktatas/tantervek/tematika/PTIBScABCTE/Programozasi_technologia_2_C_hun.pdf" TargetMode="External"/><Relationship Id="rId49" Type="http://schemas.openxmlformats.org/officeDocument/2006/relationships/hyperlink" Target="http://www.inf.elte.hu/karunkrol/oktatas/tantervek/tematika/PTIBScABCTE/Adatbazisok_2_C_hun.pdf" TargetMode="External"/><Relationship Id="rId57" Type="http://schemas.openxmlformats.org/officeDocument/2006/relationships/printerSettings" Target="../printerSettings/printerSettings3.bin"/><Relationship Id="rId10" Type="http://schemas.openxmlformats.org/officeDocument/2006/relationships/hyperlink" Target="http://www.inf.elte.hu/karunkrol/oktatas/tantervek/tematika/PTIBScABCTE/Numerikus_modszerek_2_C_hun.pdf" TargetMode="External"/><Relationship Id="rId19" Type="http://schemas.openxmlformats.org/officeDocument/2006/relationships/hyperlink" Target="http://www.inf.elte.hu/karunkrol/oktatas/tantervek/tematika/PTIBScABCTE/Valoszinusegszamitas_es_statisztika_BC_hun.pdf" TargetMode="External"/><Relationship Id="rId31" Type="http://schemas.openxmlformats.org/officeDocument/2006/relationships/hyperlink" Target="http://www.inf.elte.hu/karunkrol/oktatas/tantervek/tematika/PTIBScABCTE/Programozas_AC_hun.pdf" TargetMode="External"/><Relationship Id="rId44" Type="http://schemas.openxmlformats.org/officeDocument/2006/relationships/hyperlink" Target="http://www.inf.elte.hu/karunkrol/oktatas/tantervek/tematika/PTIBScABCTE/Osztott_rendszerek_C_hun.pdf" TargetMode="External"/><Relationship Id="rId52" Type="http://schemas.openxmlformats.org/officeDocument/2006/relationships/hyperlink" Target="http://www.inf.elte.hu/karunkrol/oktatas/tantervek/tematika/PTIBScABCTE/Kozgazdasagi_alapismeretek_ABC_hun.pdf" TargetMode="External"/><Relationship Id="rId4" Type="http://schemas.openxmlformats.org/officeDocument/2006/relationships/hyperlink" Target="http://www.inf.elte.hu/karunkrol/oktatas/tantervek/tematika/PTIBScABCTE/Analizis_1_ABCT_hun.pdf" TargetMode="External"/><Relationship Id="rId9" Type="http://schemas.openxmlformats.org/officeDocument/2006/relationships/hyperlink" Target="http://www.inf.elte.hu/karunkrol/oktatas/tantervek/tematika/PTIBScABCTE/Numerikus_modszerek_1_ABC_hun.pdf" TargetMode="External"/><Relationship Id="rId14" Type="http://schemas.openxmlformats.org/officeDocument/2006/relationships/hyperlink" Target="http://www.inf.elte.hu/karunkrol/oktatas/tantervek/tematika/PTIBScABCTE/Diszkret_matematika_2_ABC_hun.pdf" TargetMode="External"/><Relationship Id="rId22" Type="http://schemas.openxmlformats.org/officeDocument/2006/relationships/hyperlink" Target="http://www.inf.elte.hu/karunkrol/oktatas/tantervek/tematika/PTIBScABCTE/Algoritmusok_es_adatszerkezetek_1_ABC_hun.pdf" TargetMode="External"/><Relationship Id="rId27" Type="http://schemas.openxmlformats.org/officeDocument/2006/relationships/hyperlink" Target="http://www.inf.elte.hu/karunkrol/oktatas/tantervek/tematika/PTIBScABCTE/Formalis_nyelvek_es_automatak_ABCE_hun.pdf" TargetMode="External"/><Relationship Id="rId30" Type="http://schemas.openxmlformats.org/officeDocument/2006/relationships/hyperlink" Target="http://www.inf.elte.hu/karunkrol/oktatas/tantervek/tematika/PTIBScABCTE/Szamitogepes_alapismeretek_ABCT_hun.pdf" TargetMode="External"/><Relationship Id="rId35" Type="http://schemas.openxmlformats.org/officeDocument/2006/relationships/hyperlink" Target="http://www.inf.elte.hu/karunkrol/oktatas/tantervek/tematika/PTIBScABCTE/Programozasi_technologia_1_C_hun.pdf" TargetMode="External"/><Relationship Id="rId43" Type="http://schemas.openxmlformats.org/officeDocument/2006/relationships/hyperlink" Target="http://www.inf.elte.hu/karunkrol/oktatas/tantervek/tematika/PTIBScABCTE/Szamitogepes_halozatok_ABCT_hun.pdf" TargetMode="External"/><Relationship Id="rId48" Type="http://schemas.openxmlformats.org/officeDocument/2006/relationships/hyperlink" Target="http://www.inf.elte.hu/karunkrol/oktatas/tantervek/tematika/PTIBScABCTE/Adatbazisok_2_C_hun.pdf" TargetMode="External"/><Relationship Id="rId56" Type="http://schemas.openxmlformats.org/officeDocument/2006/relationships/hyperlink" Target="http://www.inf.elte.hu/karunkrol/oktatas/tantervek/Tantervihalok/PTI_BSc_2008_C.pdf" TargetMode="External"/><Relationship Id="rId8" Type="http://schemas.openxmlformats.org/officeDocument/2006/relationships/hyperlink" Target="http://www.inf.elte.hu/karunkrol/oktatas/tantervek/tematika/PTIBScABCTE/Numerikus_modszerek_1_ABC_hun.pdf" TargetMode="External"/><Relationship Id="rId51" Type="http://schemas.openxmlformats.org/officeDocument/2006/relationships/hyperlink" Target="http://www.inf.elte.hu/karunkrol/oktatas/tantervek/tematika/PTIBScABCTE/Szamitogepes_grafika_ACT_hun.pdf" TargetMode="External"/><Relationship Id="rId3" Type="http://schemas.openxmlformats.org/officeDocument/2006/relationships/hyperlink" Target="http://www.inf.elte.hu/karunkrol/oktatas/tantervek/tematika/PTIBScABCTE/Analizis_1_ABCT_hun.pdf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inf.elte.hu/karunkrol/oktatas/tantervek/tematika/PTIBScABCTE/Diszkret_matematika_2_E_hun.pdf" TargetMode="External"/><Relationship Id="rId18" Type="http://schemas.openxmlformats.org/officeDocument/2006/relationships/hyperlink" Target="http://www.inf.elte.hu/karunkrol/oktatas/tantervek/tematika/PTIBScABCTE/Valoszinusegszamitas_es_statisztika_E_hun.pdf" TargetMode="External"/><Relationship Id="rId26" Type="http://schemas.openxmlformats.org/officeDocument/2006/relationships/hyperlink" Target="http://www.inf.elte.hu/karunkrol/oktatas/tantervek/tematika/PTIBScABCTE/Mesterseges_intelligencia_ABCTE_hun.pdf" TargetMode="External"/><Relationship Id="rId39" Type="http://schemas.openxmlformats.org/officeDocument/2006/relationships/hyperlink" Target="http://www.inf.elte.hu/karunkrol/oktatas/tantervek/tematika/PTIBScABCTE/Osztott_rendszerek_E_hun.pdf" TargetMode="External"/><Relationship Id="rId3" Type="http://schemas.openxmlformats.org/officeDocument/2006/relationships/hyperlink" Target="http://www.inf.elte.hu/karunkrol/oktatas/tantervek/tematika/PTIBScABCTE/Analizis_2_E_hun.pdf" TargetMode="External"/><Relationship Id="rId21" Type="http://schemas.openxmlformats.org/officeDocument/2006/relationships/hyperlink" Target="http://www.inf.elte.hu/karunkrol/oktatas/tantervek/tematika/PTIBScABCTE/Algoritmusok_es_adatszerkezetek_1_E_hun.pdf" TargetMode="External"/><Relationship Id="rId34" Type="http://schemas.openxmlformats.org/officeDocument/2006/relationships/hyperlink" Target="http://www.inf.elte.hu/karunkrol/oktatas/tantervek/tematika/PTIBScABCTE/Forditoprogramok_E_hun.pdf" TargetMode="External"/><Relationship Id="rId42" Type="http://schemas.openxmlformats.org/officeDocument/2006/relationships/hyperlink" Target="http://www.inf.elte.hu/karunkrol/oktatas/tantervek/tematika/PTIBScABCTE/Adatbazisok_2_E_hun.pdf" TargetMode="External"/><Relationship Id="rId47" Type="http://schemas.openxmlformats.org/officeDocument/2006/relationships/hyperlink" Target="http://www.inf.elte.hu/karunkrol/oktatas/tantervek/tematika/PTIBScABCTE/Webes_alkalmazasok_fejlesztese_B_hun.pdf" TargetMode="External"/><Relationship Id="rId7" Type="http://schemas.openxmlformats.org/officeDocument/2006/relationships/hyperlink" Target="http://www.inf.elte.hu/karunkrol/oktatas/tantervek/tematika/PTIBScABCTE/Numerikus_modszerek_1_E_hun.pdf" TargetMode="External"/><Relationship Id="rId12" Type="http://schemas.openxmlformats.org/officeDocument/2006/relationships/hyperlink" Target="http://www.inf.elte.hu/karunkrol/oktatas/tantervek/tematika/PTIBScABCTE/Diszkret_matematika_2_E_hun.pdf" TargetMode="External"/><Relationship Id="rId17" Type="http://schemas.openxmlformats.org/officeDocument/2006/relationships/hyperlink" Target="http://www.inf.elte.hu/karunkrol/oktatas/tantervek/tematika/PTIBScABCTE/Valoszinusegszamitas_es_statisztika_E_hun.pdf" TargetMode="External"/><Relationship Id="rId25" Type="http://schemas.openxmlformats.org/officeDocument/2006/relationships/hyperlink" Target="http://www.inf.elte.hu/karunkrol/oktatas/tantervek/tematika/PTIBScABCTE/Formalis_nyelvek_es_automatak_ABCE_hun.pdf" TargetMode="External"/><Relationship Id="rId33" Type="http://schemas.openxmlformats.org/officeDocument/2006/relationships/hyperlink" Target="http://www.inf.elte.hu/karunkrol/oktatas/tantervek/tematika/PTIBScABCTE/Programozasi_technologia_2_E_hun.pdf" TargetMode="External"/><Relationship Id="rId38" Type="http://schemas.openxmlformats.org/officeDocument/2006/relationships/hyperlink" Target="http://www.inf.elte.hu/karunkrol/oktatas/tantervek/tematika/PTIBScABCTE/Osztott_rendszerek_E_hun.pdf" TargetMode="External"/><Relationship Id="rId46" Type="http://schemas.openxmlformats.org/officeDocument/2006/relationships/hyperlink" Target="http://www.inf.elte.hu/karunkrol/oktatas/tantervek/tematika/PTIBScABCTE/Algoritmusok_es_adatszerkezetek_2_E_hun.pdf" TargetMode="External"/><Relationship Id="rId2" Type="http://schemas.openxmlformats.org/officeDocument/2006/relationships/hyperlink" Target="http://www.inf.elte.hu/karunkrol/oktatas/tantervek/tematika/PTIBScABCTE/Analizis_1_E_hun.pdf" TargetMode="External"/><Relationship Id="rId16" Type="http://schemas.openxmlformats.org/officeDocument/2006/relationships/hyperlink" Target="http://www.inf.elte.hu/karunkrol/oktatas/tantervek/tematika/PTIBScABCTE/Linearis_algebra_E_hun.pdf" TargetMode="External"/><Relationship Id="rId20" Type="http://schemas.openxmlformats.org/officeDocument/2006/relationships/hyperlink" Target="http://www.inf.elte.hu/karunkrol/oktatas/tantervek/tematika/PTIBScABCTE/Logika_es_szamitaselmelet_E_hun.pdf" TargetMode="External"/><Relationship Id="rId29" Type="http://schemas.openxmlformats.org/officeDocument/2006/relationships/hyperlink" Target="http://www.inf.elte.hu/karunkrol/oktatas/tantervek/tematika/PTIBScABCTE/Programozas_E_hun.pdf" TargetMode="External"/><Relationship Id="rId41" Type="http://schemas.openxmlformats.org/officeDocument/2006/relationships/hyperlink" Target="http://www.inf.elte.hu/karunkrol/oktatas/tantervek/tematika/PTIBScABCTE/Adatbazisok_1_E_hun.pdf" TargetMode="External"/><Relationship Id="rId1" Type="http://schemas.openxmlformats.org/officeDocument/2006/relationships/hyperlink" Target="http://www.inf.elte.hu/karunkrol/oktatas/tantervek/tematika/PTIBScABCTE/Analizis_1_E_hun.pdf" TargetMode="External"/><Relationship Id="rId6" Type="http://schemas.openxmlformats.org/officeDocument/2006/relationships/hyperlink" Target="http://www.inf.elte.hu/karunkrol/oktatas/tantervek/tematika/PTIBScABCTE/Numerikus_modszerek_1_E_hun.pdf" TargetMode="External"/><Relationship Id="rId11" Type="http://schemas.openxmlformats.org/officeDocument/2006/relationships/hyperlink" Target="http://www.inf.elte.hu/karunkrol/oktatas/tantervek/tematika/PTIBScABCTE/Diszkret_matematika_1_E_hun.pdf" TargetMode="External"/><Relationship Id="rId24" Type="http://schemas.openxmlformats.org/officeDocument/2006/relationships/hyperlink" Target="http://www.inf.elte.hu/karunkrol/oktatas/tantervek/tematika/PTIBScABCTE/Formalis_nyelvek_es_automatak_ABCE_hun.pdf" TargetMode="External"/><Relationship Id="rId32" Type="http://schemas.openxmlformats.org/officeDocument/2006/relationships/hyperlink" Target="http://www.inf.elte.hu/karunkrol/oktatas/tantervek/tematika/PTIBScABCTE/Programozasi_technologia_1_E_hun.pdf" TargetMode="External"/><Relationship Id="rId37" Type="http://schemas.openxmlformats.org/officeDocument/2006/relationships/hyperlink" Target="http://www.inf.elte.hu/karunkrol/oktatas/tantervek/tematika/PTIBScABCTE/Szamitogepes_halozatok_E_hun.pdf" TargetMode="External"/><Relationship Id="rId40" Type="http://schemas.openxmlformats.org/officeDocument/2006/relationships/hyperlink" Target="http://www.inf.elte.hu/karunkrol/oktatas/tantervek/tematika/PTIBScABCTE/Adatbazisok_1_E_hun.pdf" TargetMode="External"/><Relationship Id="rId45" Type="http://schemas.openxmlformats.org/officeDocument/2006/relationships/hyperlink" Target="http://www.inf.elte.hu/karunkrol/oktatas/tantervek/tematika/PTIBScABCTE/Jogi_es_menedzsment_alapismeretek_ABC_hun.pdf" TargetMode="External"/><Relationship Id="rId5" Type="http://schemas.openxmlformats.org/officeDocument/2006/relationships/hyperlink" Target="http://www.inf.elte.hu/karunkrol/oktatas/tantervek/tematika/PTIBScABCTE/Analizis_3_BCE_hun.pdf" TargetMode="External"/><Relationship Id="rId15" Type="http://schemas.openxmlformats.org/officeDocument/2006/relationships/hyperlink" Target="http://www.inf.elte.hu/karunkrol/oktatas/tantervek/tematika/PTIBScABCTE/Linearis_algebra_E_hun.pdf" TargetMode="External"/><Relationship Id="rId23" Type="http://schemas.openxmlformats.org/officeDocument/2006/relationships/hyperlink" Target="http://www.inf.elte.hu/karunkrol/oktatas/tantervek/tematika/PTIBScABCTE/Algoritmusok_es_adatszerkezetek_2_E_hun.pdf" TargetMode="External"/><Relationship Id="rId28" Type="http://schemas.openxmlformats.org/officeDocument/2006/relationships/hyperlink" Target="http://www.inf.elte.hu/karunkrol/oktatas/tantervek/tematika/PTIBScABCTE/Szamitogepes_alapismeretek_E_hun.pdf" TargetMode="External"/><Relationship Id="rId36" Type="http://schemas.openxmlformats.org/officeDocument/2006/relationships/hyperlink" Target="http://www.inf.elte.hu/karunkrol/oktatas/tantervek/tematika/PTIBScABCTE/Szamitogepes_halozatok_E_hun.pdf" TargetMode="External"/><Relationship Id="rId49" Type="http://schemas.openxmlformats.org/officeDocument/2006/relationships/hyperlink" Target="http://www.inf.elte.hu/karunkrol/oktatas/tantervek/Tantervihalok/PTI_BSc_2008_E.pdf" TargetMode="External"/><Relationship Id="rId10" Type="http://schemas.openxmlformats.org/officeDocument/2006/relationships/hyperlink" Target="http://www.inf.elte.hu/karunkrol/oktatas/tantervek/tematika/PTIBScABCTE/Diszkret_matematika_1_E_hun.pdf" TargetMode="External"/><Relationship Id="rId19" Type="http://schemas.openxmlformats.org/officeDocument/2006/relationships/hyperlink" Target="http://www.inf.elte.hu/karunkrol/oktatas/tantervek/tematika/PTIBScABCTE/Logika_es_szamitaselmelet_E_hun.pdf" TargetMode="External"/><Relationship Id="rId31" Type="http://schemas.openxmlformats.org/officeDocument/2006/relationships/hyperlink" Target="http://www.inf.elte.hu/karunkrol/oktatas/tantervek/tematika/PTIBScABCTE/Programozasi_nyelvek_(JAVA)_E_hun.pdf" TargetMode="External"/><Relationship Id="rId44" Type="http://schemas.openxmlformats.org/officeDocument/2006/relationships/hyperlink" Target="http://www.inf.elte.hu/karunkrol/oktatas/tantervek/tematika/PTIBScABCTE/Szamitogepes_grafika_E_hun.pdf" TargetMode="External"/><Relationship Id="rId4" Type="http://schemas.openxmlformats.org/officeDocument/2006/relationships/hyperlink" Target="http://www.inf.elte.hu/karunkrol/oktatas/tantervek/tematika/PTIBScABCTE/Analizis_2_E_hun.pdf" TargetMode="External"/><Relationship Id="rId9" Type="http://schemas.openxmlformats.org/officeDocument/2006/relationships/hyperlink" Target="http://www.inf.elte.hu/karunkrol/oktatas/tantervek/tematika/PTIBScABCTE/Modellek_es_algoritmusok_CE_hun.pdf" TargetMode="External"/><Relationship Id="rId14" Type="http://schemas.openxmlformats.org/officeDocument/2006/relationships/hyperlink" Target="http://www.inf.elte.hu/karunkrol/oktatas/tantervek/tematika/PTIBScABCTE/Diszkret_matematika_3_E_hun.pdf" TargetMode="External"/><Relationship Id="rId22" Type="http://schemas.openxmlformats.org/officeDocument/2006/relationships/hyperlink" Target="http://www.inf.elte.hu/karunkrol/oktatas/tantervek/tematika/PTIBScABCTE/Algoritmusok_es_adatszerkezetek_1_E_hun.pdf" TargetMode="External"/><Relationship Id="rId27" Type="http://schemas.openxmlformats.org/officeDocument/2006/relationships/hyperlink" Target="http://www.inf.elte.hu/karunkrol/oktatas/tantervek/tematika/PTIBScABCTE/Programozasi_alapismeretek_E_hun.pdf" TargetMode="External"/><Relationship Id="rId30" Type="http://schemas.openxmlformats.org/officeDocument/2006/relationships/hyperlink" Target="http://www.inf.elte.hu/karunkrol/oktatas/tantervek/tematika/PTIBScABCTE/Programozasi_nyelvek_(C)_BCTE_hun.pdf" TargetMode="External"/><Relationship Id="rId35" Type="http://schemas.openxmlformats.org/officeDocument/2006/relationships/hyperlink" Target="http://www.inf.elte.hu/karunkrol/oktatas/tantervek/tematika/PTIBScABCTE/Operacios_rendszerek_ABCE_hun.pdf" TargetMode="External"/><Relationship Id="rId43" Type="http://schemas.openxmlformats.org/officeDocument/2006/relationships/hyperlink" Target="http://www.inf.elte.hu/karunkrol/oktatas/tantervek/tematika/PTIBScABCTE/Szamitogepes_grafika_E_hun.pdf" TargetMode="External"/><Relationship Id="rId48" Type="http://schemas.openxmlformats.org/officeDocument/2006/relationships/hyperlink" Target="http://www.inf.elte.hu/karunkrol/oktatas/tantervek/tematika/PTIBScABCTE/Projekteszkozok_C_hun.pdf" TargetMode="External"/><Relationship Id="rId8" Type="http://schemas.openxmlformats.org/officeDocument/2006/relationships/hyperlink" Target="http://www.inf.elte.hu/karunkrol/oktatas/tantervek/tematika/PTIBScABCTE/Numerikus_modszerek_2_E_hun.pdf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inf.elte.hu/karunkrol/oktatas/tantervek/tematika/PTIBScABCTE/Diszkret_matematika_2_E_hun.pdf" TargetMode="External"/><Relationship Id="rId18" Type="http://schemas.openxmlformats.org/officeDocument/2006/relationships/hyperlink" Target="http://www.inf.elte.hu/karunkrol/oktatas/tantervek/tematika/PTIBScABCTE/Valoszinusegszamitas_es_statisztika_E_hun.pdf" TargetMode="External"/><Relationship Id="rId26" Type="http://schemas.openxmlformats.org/officeDocument/2006/relationships/hyperlink" Target="http://www.inf.elte.hu/karunkrol/oktatas/tantervek/tematika/PTIBScABCTE/Mesterseges_intelligencia_ABCTE_hun.pdf" TargetMode="External"/><Relationship Id="rId39" Type="http://schemas.openxmlformats.org/officeDocument/2006/relationships/hyperlink" Target="http://www.inf.elte.hu/karunkrol/oktatas/tantervek/tematika/PTIBScABCTE/Osztott_rendszerek_E_hun.pdf" TargetMode="External"/><Relationship Id="rId3" Type="http://schemas.openxmlformats.org/officeDocument/2006/relationships/hyperlink" Target="http://www.inf.elte.hu/karunkrol/oktatas/tantervek/tematika/PTIBScABCTE/Analizis_2_E_hun.pdf" TargetMode="External"/><Relationship Id="rId21" Type="http://schemas.openxmlformats.org/officeDocument/2006/relationships/hyperlink" Target="http://www.inf.elte.hu/karunkrol/oktatas/tantervek/tematika/PTIBScABCTE/Algoritmusok_es_adatszerkezetek_1_E_hun.pdf" TargetMode="External"/><Relationship Id="rId34" Type="http://schemas.openxmlformats.org/officeDocument/2006/relationships/hyperlink" Target="http://www.inf.elte.hu/karunkrol/oktatas/tantervek/tematika/PTIBScABCTE/Forditoprogramok_E_hun.pdf" TargetMode="External"/><Relationship Id="rId42" Type="http://schemas.openxmlformats.org/officeDocument/2006/relationships/hyperlink" Target="http://www.inf.elte.hu/karunkrol/oktatas/tantervek/tematika/PTIBScABCTE/Adatbazisok_2_E_hun.pdf" TargetMode="External"/><Relationship Id="rId47" Type="http://schemas.openxmlformats.org/officeDocument/2006/relationships/hyperlink" Target="http://www.inf.elte.hu/karunkrol/oktatas/tantervek/tematika/PTIBScABCTE/Projekteszkozok_C_hun.pdf" TargetMode="External"/><Relationship Id="rId7" Type="http://schemas.openxmlformats.org/officeDocument/2006/relationships/hyperlink" Target="http://www.inf.elte.hu/karunkrol/oktatas/tantervek/tematika/PTIBScABCTE/Numerikus_modszerek_1_E_hun.pdf" TargetMode="External"/><Relationship Id="rId12" Type="http://schemas.openxmlformats.org/officeDocument/2006/relationships/hyperlink" Target="http://www.inf.elte.hu/karunkrol/oktatas/tantervek/tematika/PTIBScABCTE/Diszkret_matematika_2_E_hun.pdf" TargetMode="External"/><Relationship Id="rId17" Type="http://schemas.openxmlformats.org/officeDocument/2006/relationships/hyperlink" Target="http://www.inf.elte.hu/karunkrol/oktatas/tantervek/tematika/PTIBScABCTE/Valoszinusegszamitas_es_statisztika_E_hun.pdf" TargetMode="External"/><Relationship Id="rId25" Type="http://schemas.openxmlformats.org/officeDocument/2006/relationships/hyperlink" Target="http://www.inf.elte.hu/karunkrol/oktatas/tantervek/tematika/PTIBScABCTE/Formalis_nyelvek_es_automatak_ABCE_hun.pdf" TargetMode="External"/><Relationship Id="rId33" Type="http://schemas.openxmlformats.org/officeDocument/2006/relationships/hyperlink" Target="http://www.inf.elte.hu/karunkrol/oktatas/tantervek/tematika/PTIBScABCTE/Programozasi_technologia_2_E_hun.pdf" TargetMode="External"/><Relationship Id="rId38" Type="http://schemas.openxmlformats.org/officeDocument/2006/relationships/hyperlink" Target="http://www.inf.elte.hu/karunkrol/oktatas/tantervek/tematika/PTIBScABCTE/Osztott_rendszerek_E_hun.pdf" TargetMode="External"/><Relationship Id="rId46" Type="http://schemas.openxmlformats.org/officeDocument/2006/relationships/hyperlink" Target="http://www.inf.elte.hu/karunkrol/oktatas/tantervek/tematika/PTIBScABCTE/Algoritmusok_es_adatszerkezetek_2_E_hun.pdf" TargetMode="External"/><Relationship Id="rId2" Type="http://schemas.openxmlformats.org/officeDocument/2006/relationships/hyperlink" Target="http://www.inf.elte.hu/karunkrol/oktatas/tantervek/tematika/PTIBScABCTE/Analizis_1_E_hun.pdf" TargetMode="External"/><Relationship Id="rId16" Type="http://schemas.openxmlformats.org/officeDocument/2006/relationships/hyperlink" Target="http://www.inf.elte.hu/karunkrol/oktatas/tantervek/tematika/PTIBScABCTE/Linearis_algebra_E_hun.pdf" TargetMode="External"/><Relationship Id="rId20" Type="http://schemas.openxmlformats.org/officeDocument/2006/relationships/hyperlink" Target="http://www.inf.elte.hu/karunkrol/oktatas/tantervek/tematika/PTIBScABCTE/Logika_es_szamitaselmelet_E_hun.pdf" TargetMode="External"/><Relationship Id="rId29" Type="http://schemas.openxmlformats.org/officeDocument/2006/relationships/hyperlink" Target="http://www.inf.elte.hu/karunkrol/oktatas/tantervek/tematika/PTIBScABCTE/Programozas_E_hun.pdf" TargetMode="External"/><Relationship Id="rId41" Type="http://schemas.openxmlformats.org/officeDocument/2006/relationships/hyperlink" Target="http://www.inf.elte.hu/karunkrol/oktatas/tantervek/tematika/PTIBScABCTE/Adatbazisok_1_E_hun.pdf" TargetMode="External"/><Relationship Id="rId1" Type="http://schemas.openxmlformats.org/officeDocument/2006/relationships/hyperlink" Target="http://www.inf.elte.hu/karunkrol/oktatas/tantervek/tematika/PTIBScABCTE/Analizis_1_E_hun.pdf" TargetMode="External"/><Relationship Id="rId6" Type="http://schemas.openxmlformats.org/officeDocument/2006/relationships/hyperlink" Target="http://www.inf.elte.hu/karunkrol/oktatas/tantervek/tematika/PTIBScABCTE/Numerikus_modszerek_1_E_hun.pdf" TargetMode="External"/><Relationship Id="rId11" Type="http://schemas.openxmlformats.org/officeDocument/2006/relationships/hyperlink" Target="http://www.inf.elte.hu/karunkrol/oktatas/tantervek/tematika/PTIBScABCTE/Diszkret_matematika_1_E_hun.pdf" TargetMode="External"/><Relationship Id="rId24" Type="http://schemas.openxmlformats.org/officeDocument/2006/relationships/hyperlink" Target="http://www.inf.elte.hu/karunkrol/oktatas/tantervek/tematika/PTIBScABCTE/Formalis_nyelvek_es_automatak_ABCE_hun.pdf" TargetMode="External"/><Relationship Id="rId32" Type="http://schemas.openxmlformats.org/officeDocument/2006/relationships/hyperlink" Target="http://www.inf.elte.hu/karunkrol/oktatas/tantervek/tematika/PTIBScABCTE/Programozasi_technologia_1_E_hun.pdf" TargetMode="External"/><Relationship Id="rId37" Type="http://schemas.openxmlformats.org/officeDocument/2006/relationships/hyperlink" Target="http://www.inf.elte.hu/karunkrol/oktatas/tantervek/tematika/PTIBScABCTE/Szamitogepes_halozatok_E_hun.pdf" TargetMode="External"/><Relationship Id="rId40" Type="http://schemas.openxmlformats.org/officeDocument/2006/relationships/hyperlink" Target="http://www.inf.elte.hu/karunkrol/oktatas/tantervek/tematika/PTIBScABCTE/Adatbazisok_1_E_hun.pdf" TargetMode="External"/><Relationship Id="rId45" Type="http://schemas.openxmlformats.org/officeDocument/2006/relationships/hyperlink" Target="http://www.inf.elte.hu/karunkrol/oktatas/tantervek/tematika/PTIBScABCTE/Jogi_es_menedzsmentalapismeretek_ABC_hun.pdf" TargetMode="External"/><Relationship Id="rId5" Type="http://schemas.openxmlformats.org/officeDocument/2006/relationships/hyperlink" Target="http://www.inf.elte.hu/karunkrol/oktatas/tantervek/tematika/PTIBScABCTE/Analizis_3_BCE_hun.pdf" TargetMode="External"/><Relationship Id="rId15" Type="http://schemas.openxmlformats.org/officeDocument/2006/relationships/hyperlink" Target="http://www.inf.elte.hu/karunkrol/oktatas/tantervek/tematika/PTIBScABCTE/Linearis_algebra_E_hun.pdf" TargetMode="External"/><Relationship Id="rId23" Type="http://schemas.openxmlformats.org/officeDocument/2006/relationships/hyperlink" Target="http://www.inf.elte.hu/karunkrol/oktatas/tantervek/tematika/PTIBScABCTE/Algoritmusok_es_adatszerkezetek_2_E_hun.pdf" TargetMode="External"/><Relationship Id="rId28" Type="http://schemas.openxmlformats.org/officeDocument/2006/relationships/hyperlink" Target="http://www.inf.elte.hu/karunkrol/oktatas/tantervek/tematika/PTIBScABCTE/Szamitogepes_alapismeretek_E_hun.pdf" TargetMode="External"/><Relationship Id="rId36" Type="http://schemas.openxmlformats.org/officeDocument/2006/relationships/hyperlink" Target="http://www.inf.elte.hu/karunkrol/oktatas/tantervek/tematika/PTIBScABCTE/Szamitogepes_halozatok_E_hun.pdf" TargetMode="External"/><Relationship Id="rId49" Type="http://schemas.openxmlformats.org/officeDocument/2006/relationships/hyperlink" Target="http://www.inf.elte.hu/karunkrol/oktatas/tantervek/Tantervihalok/PTI_BSC_2008_esti_8_feleves.pdf" TargetMode="External"/><Relationship Id="rId10" Type="http://schemas.openxmlformats.org/officeDocument/2006/relationships/hyperlink" Target="http://www.inf.elte.hu/karunkrol/oktatas/tantervek/tematika/PTIBScABCTE/Diszkret_matematika_1_E_hun.pdf" TargetMode="External"/><Relationship Id="rId19" Type="http://schemas.openxmlformats.org/officeDocument/2006/relationships/hyperlink" Target="http://www.inf.elte.hu/karunkrol/oktatas/tantervek/tematika/PTIBScABCTE/Logika_es_szamitaselmelet_E_hun.pdf" TargetMode="External"/><Relationship Id="rId31" Type="http://schemas.openxmlformats.org/officeDocument/2006/relationships/hyperlink" Target="http://www.inf.elte.hu/karunkrol/oktatas/tantervek/tematika/PTIBScABCTE/Programozasi_nyelvek_(JAVA)_E_hun.pdf" TargetMode="External"/><Relationship Id="rId44" Type="http://schemas.openxmlformats.org/officeDocument/2006/relationships/hyperlink" Target="http://www.inf.elte.hu/karunkrol/oktatas/tantervek/tematika/PTIBScABCTE/Szamitogepes_grafika_E_hun.pdf" TargetMode="External"/><Relationship Id="rId4" Type="http://schemas.openxmlformats.org/officeDocument/2006/relationships/hyperlink" Target="http://www.inf.elte.hu/karunkrol/oktatas/tantervek/tematika/PTIBScABCTE/Analizis_2_E_hun.pdf" TargetMode="External"/><Relationship Id="rId9" Type="http://schemas.openxmlformats.org/officeDocument/2006/relationships/hyperlink" Target="http://www.inf.elte.hu/karunkrol/oktatas/tantervek/tematika/PTIBScABCTE/Modellek_es_algoritmusok_CE_hun.pdf" TargetMode="External"/><Relationship Id="rId14" Type="http://schemas.openxmlformats.org/officeDocument/2006/relationships/hyperlink" Target="http://www.inf.elte.hu/karunkrol/oktatas/tantervek/tematika/PTIBScABCTE/Diszkret_matematika_3_E_hun.pdf" TargetMode="External"/><Relationship Id="rId22" Type="http://schemas.openxmlformats.org/officeDocument/2006/relationships/hyperlink" Target="http://www.inf.elte.hu/karunkrol/oktatas/tantervek/tematika/PTIBScABCTE/Algoritmusok_es_adatszerkezetek_1_E_hun.pdf" TargetMode="External"/><Relationship Id="rId27" Type="http://schemas.openxmlformats.org/officeDocument/2006/relationships/hyperlink" Target="http://www.inf.elte.hu/karunkrol/oktatas/tantervek/tematika/PTIBScABCTE/Programozasi_alapismeretek_E_hun.pdf" TargetMode="External"/><Relationship Id="rId30" Type="http://schemas.openxmlformats.org/officeDocument/2006/relationships/hyperlink" Target="http://www.inf.elte.hu/karunkrol/oktatas/tantervek/tematika/PTIBScABCTE/Programozasi_nyelvek_(C)_BCTE_hun.pdf" TargetMode="External"/><Relationship Id="rId35" Type="http://schemas.openxmlformats.org/officeDocument/2006/relationships/hyperlink" Target="http://www.inf.elte.hu/karunkrol/oktatas/tantervek/tematika/PTIBScABCTE/Operacios_rendszerek_ABCE_hun.pdf" TargetMode="External"/><Relationship Id="rId43" Type="http://schemas.openxmlformats.org/officeDocument/2006/relationships/hyperlink" Target="http://www.inf.elte.hu/karunkrol/oktatas/tantervek/tematika/PTIBScABCTE/Szamitogepes_grafika_E_hun.pdf" TargetMode="External"/><Relationship Id="rId48" Type="http://schemas.openxmlformats.org/officeDocument/2006/relationships/hyperlink" Target="http://www.inf.elte.hu/karunkrol/oktatas/tantervek/tematika/PTIBScABCTE/Webes_alkalmazasok_fejlesztese_B_hun.pdf" TargetMode="External"/><Relationship Id="rId8" Type="http://schemas.openxmlformats.org/officeDocument/2006/relationships/hyperlink" Target="http://www.inf.elte.hu/karunkrol/oktatas/tantervek/tematika/PTIBScABCTE/Programcsomagok_numerikus_modszerekben_E_hu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71"/>
  <sheetViews>
    <sheetView workbookViewId="0">
      <selection activeCell="B1" sqref="B1"/>
    </sheetView>
  </sheetViews>
  <sheetFormatPr defaultRowHeight="15" x14ac:dyDescent="0.25"/>
  <cols>
    <col min="1" max="1" width="3.5703125" style="106" customWidth="1"/>
    <col min="2" max="2" width="49.28515625" style="106" bestFit="1" customWidth="1"/>
    <col min="3" max="3" width="14.7109375" style="106" bestFit="1" customWidth="1"/>
    <col min="4" max="4" width="16.42578125" style="106" bestFit="1" customWidth="1"/>
    <col min="5" max="6" width="16.28515625" style="106" bestFit="1" customWidth="1"/>
    <col min="7" max="7" width="16.140625" style="106" bestFit="1" customWidth="1"/>
    <col min="8" max="9" width="17.28515625" style="106" bestFit="1" customWidth="1"/>
    <col min="10" max="16384" width="9.140625" style="106"/>
  </cols>
  <sheetData>
    <row r="1" spans="2:9" s="107" customFormat="1" ht="16.5" thickTop="1" thickBot="1" x14ac:dyDescent="0.3">
      <c r="B1" s="112" t="s">
        <v>557</v>
      </c>
      <c r="C1" s="113" t="s">
        <v>558</v>
      </c>
      <c r="D1" s="113" t="s">
        <v>573</v>
      </c>
      <c r="E1" s="113" t="s">
        <v>639</v>
      </c>
      <c r="F1" s="113" t="s">
        <v>640</v>
      </c>
      <c r="G1" s="113" t="s">
        <v>641</v>
      </c>
      <c r="H1" s="113" t="s">
        <v>642</v>
      </c>
      <c r="I1" s="114" t="s">
        <v>643</v>
      </c>
    </row>
    <row r="2" spans="2:9" ht="15.75" thickTop="1" x14ac:dyDescent="0.25">
      <c r="B2" s="110" t="s">
        <v>559</v>
      </c>
      <c r="C2" s="110" t="s">
        <v>560</v>
      </c>
      <c r="D2" s="111">
        <v>4</v>
      </c>
      <c r="E2" s="111">
        <v>4</v>
      </c>
      <c r="F2" s="111">
        <v>4</v>
      </c>
      <c r="G2" s="111">
        <v>5</v>
      </c>
      <c r="H2" s="111">
        <v>4</v>
      </c>
      <c r="I2" s="111">
        <v>4</v>
      </c>
    </row>
    <row r="3" spans="2:9" x14ac:dyDescent="0.25">
      <c r="B3" s="108" t="s">
        <v>561</v>
      </c>
      <c r="C3" s="108" t="s">
        <v>560</v>
      </c>
      <c r="D3" s="109">
        <v>5</v>
      </c>
      <c r="E3" s="109">
        <v>5</v>
      </c>
      <c r="F3" s="109">
        <v>5</v>
      </c>
      <c r="G3" s="109">
        <v>6</v>
      </c>
      <c r="H3" s="109">
        <v>5</v>
      </c>
      <c r="I3" s="109">
        <v>5</v>
      </c>
    </row>
    <row r="4" spans="2:9" x14ac:dyDescent="0.25">
      <c r="B4" s="108" t="s">
        <v>562</v>
      </c>
      <c r="C4" s="108" t="s">
        <v>560</v>
      </c>
      <c r="D4" s="109">
        <v>3</v>
      </c>
      <c r="E4" s="109">
        <v>3</v>
      </c>
      <c r="F4" s="109">
        <v>3</v>
      </c>
      <c r="G4" s="109">
        <v>3</v>
      </c>
      <c r="H4" s="109">
        <v>3</v>
      </c>
      <c r="I4" s="109">
        <v>3</v>
      </c>
    </row>
    <row r="5" spans="2:9" x14ac:dyDescent="0.25">
      <c r="B5" s="108" t="s">
        <v>563</v>
      </c>
      <c r="C5" s="108" t="s">
        <v>560</v>
      </c>
      <c r="D5" s="109">
        <v>4</v>
      </c>
      <c r="E5" s="109">
        <v>4</v>
      </c>
      <c r="F5" s="109">
        <v>4</v>
      </c>
      <c r="G5" s="109">
        <v>4</v>
      </c>
      <c r="H5" s="109">
        <v>4</v>
      </c>
      <c r="I5" s="109">
        <v>4</v>
      </c>
    </row>
    <row r="6" spans="2:9" x14ac:dyDescent="0.25">
      <c r="B6" s="108" t="s">
        <v>617</v>
      </c>
      <c r="C6" s="108" t="s">
        <v>618</v>
      </c>
      <c r="D6" s="109" t="s">
        <v>7</v>
      </c>
      <c r="E6" s="109" t="s">
        <v>7</v>
      </c>
      <c r="F6" s="109">
        <v>5</v>
      </c>
      <c r="G6" s="109" t="s">
        <v>7</v>
      </c>
      <c r="H6" s="109" t="s">
        <v>7</v>
      </c>
      <c r="I6" s="109" t="s">
        <v>7</v>
      </c>
    </row>
    <row r="7" spans="2:9" x14ac:dyDescent="0.25">
      <c r="B7" s="108" t="s">
        <v>564</v>
      </c>
      <c r="C7" s="108" t="s">
        <v>560</v>
      </c>
      <c r="D7" s="109">
        <v>2</v>
      </c>
      <c r="E7" s="109">
        <v>2</v>
      </c>
      <c r="F7" s="109">
        <v>2</v>
      </c>
      <c r="G7" s="109">
        <v>2</v>
      </c>
      <c r="H7" s="109" t="s">
        <v>7</v>
      </c>
      <c r="I7" s="109">
        <v>2</v>
      </c>
    </row>
    <row r="8" spans="2:9" x14ac:dyDescent="0.25">
      <c r="B8" s="108" t="s">
        <v>565</v>
      </c>
      <c r="C8" s="108" t="s">
        <v>566</v>
      </c>
      <c r="D8" s="109">
        <v>3</v>
      </c>
      <c r="E8" s="109">
        <v>3</v>
      </c>
      <c r="F8" s="109">
        <v>3</v>
      </c>
      <c r="G8" s="109">
        <v>3</v>
      </c>
      <c r="H8" s="109" t="s">
        <v>7</v>
      </c>
      <c r="I8" s="109" t="s">
        <v>7</v>
      </c>
    </row>
    <row r="9" spans="2:9" x14ac:dyDescent="0.25">
      <c r="B9" s="108" t="s">
        <v>567</v>
      </c>
      <c r="C9" s="108" t="s">
        <v>568</v>
      </c>
      <c r="D9" s="109">
        <v>4</v>
      </c>
      <c r="E9" s="109">
        <v>4</v>
      </c>
      <c r="F9" s="109">
        <v>4</v>
      </c>
      <c r="G9" s="109">
        <v>4</v>
      </c>
      <c r="H9" s="109" t="s">
        <v>7</v>
      </c>
      <c r="I9" s="109" t="s">
        <v>7</v>
      </c>
    </row>
    <row r="10" spans="2:9" x14ac:dyDescent="0.25">
      <c r="B10" s="108" t="s">
        <v>569</v>
      </c>
      <c r="C10" s="108" t="s">
        <v>572</v>
      </c>
      <c r="D10" s="109">
        <v>5</v>
      </c>
      <c r="E10" s="109" t="s">
        <v>7</v>
      </c>
      <c r="F10" s="109" t="s">
        <v>7</v>
      </c>
      <c r="G10" s="109" t="s">
        <v>7</v>
      </c>
      <c r="H10" s="109" t="s">
        <v>7</v>
      </c>
      <c r="I10" s="109" t="s">
        <v>7</v>
      </c>
    </row>
    <row r="11" spans="2:9" x14ac:dyDescent="0.25">
      <c r="B11" s="108" t="s">
        <v>570</v>
      </c>
      <c r="C11" s="108" t="s">
        <v>571</v>
      </c>
      <c r="D11" s="109">
        <v>1</v>
      </c>
      <c r="E11" s="109">
        <v>1</v>
      </c>
      <c r="F11" s="109">
        <v>1</v>
      </c>
      <c r="G11" s="109">
        <v>1</v>
      </c>
      <c r="H11" s="109">
        <v>1</v>
      </c>
      <c r="I11" s="109">
        <v>1</v>
      </c>
    </row>
    <row r="12" spans="2:9" x14ac:dyDescent="0.25">
      <c r="B12" s="108" t="s">
        <v>574</v>
      </c>
      <c r="C12" s="108" t="s">
        <v>655</v>
      </c>
      <c r="D12" s="109">
        <v>2</v>
      </c>
      <c r="E12" s="109">
        <v>2</v>
      </c>
      <c r="F12" s="109">
        <v>2</v>
      </c>
      <c r="G12" s="109">
        <v>2</v>
      </c>
      <c r="H12" s="109" t="s">
        <v>7</v>
      </c>
      <c r="I12" s="109">
        <v>2</v>
      </c>
    </row>
    <row r="13" spans="2:9" x14ac:dyDescent="0.25">
      <c r="B13" s="108" t="s">
        <v>626</v>
      </c>
      <c r="C13" s="108" t="s">
        <v>627</v>
      </c>
      <c r="D13" s="109" t="s">
        <v>7</v>
      </c>
      <c r="E13" s="109" t="s">
        <v>7</v>
      </c>
      <c r="F13" s="109" t="s">
        <v>7</v>
      </c>
      <c r="G13" s="109">
        <v>3</v>
      </c>
      <c r="H13" s="109" t="s">
        <v>7</v>
      </c>
      <c r="I13" s="109" t="s">
        <v>7</v>
      </c>
    </row>
    <row r="14" spans="2:9" x14ac:dyDescent="0.25">
      <c r="B14" s="108" t="s">
        <v>603</v>
      </c>
      <c r="C14" s="108" t="s">
        <v>604</v>
      </c>
      <c r="D14" s="109" t="s">
        <v>7</v>
      </c>
      <c r="E14" s="109">
        <v>4</v>
      </c>
      <c r="F14" s="109" t="s">
        <v>7</v>
      </c>
      <c r="G14" s="109" t="s">
        <v>7</v>
      </c>
      <c r="H14" s="109" t="s">
        <v>7</v>
      </c>
      <c r="I14" s="109" t="s">
        <v>7</v>
      </c>
    </row>
    <row r="15" spans="2:9" x14ac:dyDescent="0.25">
      <c r="B15" s="108" t="s">
        <v>605</v>
      </c>
      <c r="C15" s="108" t="s">
        <v>604</v>
      </c>
      <c r="D15" s="109" t="s">
        <v>7</v>
      </c>
      <c r="E15" s="109">
        <v>5</v>
      </c>
      <c r="F15" s="109" t="s">
        <v>7</v>
      </c>
      <c r="G15" s="109" t="s">
        <v>7</v>
      </c>
      <c r="H15" s="109" t="s">
        <v>7</v>
      </c>
      <c r="I15" s="109" t="s">
        <v>7</v>
      </c>
    </row>
    <row r="16" spans="2:9" x14ac:dyDescent="0.25">
      <c r="B16" s="108" t="s">
        <v>81</v>
      </c>
      <c r="C16" s="108" t="s">
        <v>560</v>
      </c>
      <c r="D16" s="109">
        <v>5</v>
      </c>
      <c r="E16" s="109">
        <v>6</v>
      </c>
      <c r="F16" s="109">
        <v>5</v>
      </c>
      <c r="G16" s="109">
        <v>4</v>
      </c>
      <c r="H16" s="109">
        <v>6</v>
      </c>
      <c r="I16" s="109" t="s">
        <v>7</v>
      </c>
    </row>
    <row r="17" spans="2:9" x14ac:dyDescent="0.25">
      <c r="B17" s="108" t="s">
        <v>575</v>
      </c>
      <c r="C17" s="108" t="s">
        <v>566</v>
      </c>
      <c r="D17" s="109">
        <v>2</v>
      </c>
      <c r="E17" s="109">
        <v>2</v>
      </c>
      <c r="F17" s="109">
        <v>2</v>
      </c>
      <c r="G17" s="109">
        <v>3</v>
      </c>
      <c r="H17" s="109" t="s">
        <v>7</v>
      </c>
      <c r="I17" s="109" t="s">
        <v>7</v>
      </c>
    </row>
    <row r="18" spans="2:9" x14ac:dyDescent="0.25">
      <c r="B18" s="108" t="s">
        <v>606</v>
      </c>
      <c r="C18" s="108" t="s">
        <v>607</v>
      </c>
      <c r="D18" s="109" t="s">
        <v>7</v>
      </c>
      <c r="E18" s="109">
        <v>2</v>
      </c>
      <c r="F18" s="109" t="s">
        <v>7</v>
      </c>
      <c r="G18" s="109" t="s">
        <v>7</v>
      </c>
      <c r="H18" s="109">
        <v>1</v>
      </c>
      <c r="I18" s="109">
        <v>1</v>
      </c>
    </row>
    <row r="19" spans="2:9" x14ac:dyDescent="0.25">
      <c r="B19" s="108" t="s">
        <v>628</v>
      </c>
      <c r="C19" s="108" t="s">
        <v>633</v>
      </c>
      <c r="D19" s="109" t="s">
        <v>7</v>
      </c>
      <c r="E19" s="109" t="s">
        <v>7</v>
      </c>
      <c r="F19" s="109" t="s">
        <v>7</v>
      </c>
      <c r="G19" s="109" t="s">
        <v>7</v>
      </c>
      <c r="H19" s="109">
        <v>4</v>
      </c>
      <c r="I19" s="109">
        <v>4</v>
      </c>
    </row>
    <row r="20" spans="2:9" x14ac:dyDescent="0.25">
      <c r="B20" s="108" t="s">
        <v>629</v>
      </c>
      <c r="C20" s="108" t="s">
        <v>633</v>
      </c>
      <c r="D20" s="109" t="s">
        <v>7</v>
      </c>
      <c r="E20" s="109" t="s">
        <v>7</v>
      </c>
      <c r="F20" s="109" t="s">
        <v>7</v>
      </c>
      <c r="G20" s="109" t="s">
        <v>7</v>
      </c>
      <c r="H20" s="109">
        <v>5</v>
      </c>
      <c r="I20" s="109">
        <v>5</v>
      </c>
    </row>
    <row r="21" spans="2:9" x14ac:dyDescent="0.25">
      <c r="B21" s="108" t="s">
        <v>576</v>
      </c>
      <c r="C21" s="108" t="s">
        <v>571</v>
      </c>
      <c r="D21" s="109">
        <v>1</v>
      </c>
      <c r="E21" s="109">
        <v>1</v>
      </c>
      <c r="F21" s="109">
        <v>1</v>
      </c>
      <c r="G21" s="109" t="s">
        <v>7</v>
      </c>
      <c r="H21" s="109" t="s">
        <v>7</v>
      </c>
      <c r="I21" s="109" t="s">
        <v>7</v>
      </c>
    </row>
    <row r="22" spans="2:9" x14ac:dyDescent="0.25">
      <c r="B22" s="108" t="s">
        <v>577</v>
      </c>
      <c r="C22" s="108" t="s">
        <v>572</v>
      </c>
      <c r="D22" s="109">
        <v>4</v>
      </c>
      <c r="E22" s="109" t="s">
        <v>7</v>
      </c>
      <c r="F22" s="109" t="s">
        <v>7</v>
      </c>
      <c r="G22" s="109" t="s">
        <v>7</v>
      </c>
      <c r="H22" s="109" t="s">
        <v>7</v>
      </c>
      <c r="I22" s="109" t="s">
        <v>7</v>
      </c>
    </row>
    <row r="23" spans="2:9" x14ac:dyDescent="0.25">
      <c r="B23" s="108" t="s">
        <v>578</v>
      </c>
      <c r="C23" s="108" t="s">
        <v>571</v>
      </c>
      <c r="D23" s="109">
        <v>1</v>
      </c>
      <c r="E23" s="109">
        <v>1</v>
      </c>
      <c r="F23" s="109">
        <v>1</v>
      </c>
      <c r="G23" s="109" t="s">
        <v>7</v>
      </c>
      <c r="H23" s="109" t="s">
        <v>7</v>
      </c>
      <c r="I23" s="109" t="s">
        <v>7</v>
      </c>
    </row>
    <row r="24" spans="2:9" x14ac:dyDescent="0.25">
      <c r="B24" s="108" t="s">
        <v>645</v>
      </c>
      <c r="C24" s="108" t="s">
        <v>627</v>
      </c>
      <c r="D24" s="109" t="s">
        <v>7</v>
      </c>
      <c r="E24" s="109" t="s">
        <v>7</v>
      </c>
      <c r="F24" s="109" t="s">
        <v>7</v>
      </c>
      <c r="G24" s="109">
        <v>2</v>
      </c>
      <c r="H24" s="109" t="s">
        <v>7</v>
      </c>
      <c r="I24" s="109" t="s">
        <v>7</v>
      </c>
    </row>
    <row r="25" spans="2:9" x14ac:dyDescent="0.25">
      <c r="B25" s="108" t="s">
        <v>630</v>
      </c>
      <c r="C25" s="108" t="s">
        <v>633</v>
      </c>
      <c r="D25" s="109" t="s">
        <v>7</v>
      </c>
      <c r="E25" s="109" t="s">
        <v>7</v>
      </c>
      <c r="F25" s="109" t="s">
        <v>7</v>
      </c>
      <c r="G25" s="109" t="s">
        <v>7</v>
      </c>
      <c r="H25" s="109">
        <v>2</v>
      </c>
      <c r="I25" s="109">
        <v>2</v>
      </c>
    </row>
    <row r="26" spans="2:9" x14ac:dyDescent="0.25">
      <c r="B26" s="108" t="s">
        <v>579</v>
      </c>
      <c r="C26" s="108" t="s">
        <v>571</v>
      </c>
      <c r="D26" s="109">
        <v>1</v>
      </c>
      <c r="E26" s="109">
        <v>1</v>
      </c>
      <c r="F26" s="109">
        <v>1</v>
      </c>
      <c r="G26" s="109">
        <v>1</v>
      </c>
      <c r="H26" s="109" t="s">
        <v>7</v>
      </c>
      <c r="I26" s="109" t="s">
        <v>7</v>
      </c>
    </row>
    <row r="27" spans="2:9" x14ac:dyDescent="0.25">
      <c r="B27" s="108" t="s">
        <v>580</v>
      </c>
      <c r="C27" s="108" t="s">
        <v>560</v>
      </c>
      <c r="D27" s="109">
        <v>3</v>
      </c>
      <c r="E27" s="109">
        <v>4</v>
      </c>
      <c r="F27" s="109">
        <v>3</v>
      </c>
      <c r="G27" s="109">
        <v>4</v>
      </c>
      <c r="H27" s="109">
        <v>5</v>
      </c>
      <c r="I27" s="109" t="s">
        <v>7</v>
      </c>
    </row>
    <row r="28" spans="2:9" x14ac:dyDescent="0.25">
      <c r="B28" s="108" t="s">
        <v>634</v>
      </c>
      <c r="C28" s="108" t="s">
        <v>633</v>
      </c>
      <c r="D28" s="109" t="s">
        <v>7</v>
      </c>
      <c r="E28" s="109" t="s">
        <v>7</v>
      </c>
      <c r="F28" s="109" t="s">
        <v>7</v>
      </c>
      <c r="G28" s="109" t="s">
        <v>7</v>
      </c>
      <c r="H28" s="109" t="s">
        <v>7</v>
      </c>
      <c r="I28" s="109">
        <v>3</v>
      </c>
    </row>
    <row r="29" spans="2:9" x14ac:dyDescent="0.25">
      <c r="B29" s="108" t="s">
        <v>635</v>
      </c>
      <c r="C29" s="108" t="s">
        <v>633</v>
      </c>
      <c r="D29" s="109" t="s">
        <v>7</v>
      </c>
      <c r="E29" s="109" t="s">
        <v>7</v>
      </c>
      <c r="F29" s="109" t="s">
        <v>7</v>
      </c>
      <c r="G29" s="109" t="s">
        <v>7</v>
      </c>
      <c r="H29" s="109" t="s">
        <v>7</v>
      </c>
      <c r="I29" s="109">
        <v>4</v>
      </c>
    </row>
    <row r="30" spans="2:9" x14ac:dyDescent="0.25">
      <c r="B30" s="108" t="s">
        <v>581</v>
      </c>
      <c r="C30" s="108" t="s">
        <v>571</v>
      </c>
      <c r="D30" s="109">
        <v>1</v>
      </c>
      <c r="E30" s="109">
        <v>1</v>
      </c>
      <c r="F30" s="109">
        <v>1</v>
      </c>
      <c r="G30" s="109" t="s">
        <v>7</v>
      </c>
      <c r="H30" s="109">
        <v>1</v>
      </c>
      <c r="I30" s="109">
        <v>1</v>
      </c>
    </row>
    <row r="31" spans="2:9" x14ac:dyDescent="0.25">
      <c r="B31" s="108" t="s">
        <v>646</v>
      </c>
      <c r="C31" s="108" t="s">
        <v>572</v>
      </c>
      <c r="D31" s="109">
        <v>6</v>
      </c>
      <c r="E31" s="109" t="s">
        <v>7</v>
      </c>
      <c r="F31" s="109" t="s">
        <v>7</v>
      </c>
      <c r="G31" s="109" t="s">
        <v>7</v>
      </c>
      <c r="H31" s="109" t="s">
        <v>7</v>
      </c>
      <c r="I31" s="109" t="s">
        <v>7</v>
      </c>
    </row>
    <row r="32" spans="2:9" x14ac:dyDescent="0.25">
      <c r="B32" s="108" t="s">
        <v>582</v>
      </c>
      <c r="C32" s="108" t="s">
        <v>560</v>
      </c>
      <c r="D32" s="109">
        <v>6</v>
      </c>
      <c r="E32" s="109">
        <v>6</v>
      </c>
      <c r="F32" s="109">
        <v>6</v>
      </c>
      <c r="G32" s="109">
        <v>5</v>
      </c>
      <c r="H32" s="109">
        <v>6</v>
      </c>
      <c r="I32" s="109">
        <v>6</v>
      </c>
    </row>
    <row r="33" spans="2:9" x14ac:dyDescent="0.25">
      <c r="B33" s="108" t="s">
        <v>608</v>
      </c>
      <c r="C33" s="108" t="s">
        <v>609</v>
      </c>
      <c r="D33" s="109" t="s">
        <v>7</v>
      </c>
      <c r="E33" s="109">
        <v>5</v>
      </c>
      <c r="F33" s="109">
        <v>5</v>
      </c>
      <c r="G33" s="109">
        <v>5</v>
      </c>
      <c r="H33" s="109" t="s">
        <v>7</v>
      </c>
      <c r="I33" s="109" t="s">
        <v>7</v>
      </c>
    </row>
    <row r="34" spans="2:9" x14ac:dyDescent="0.25">
      <c r="B34" s="108" t="s">
        <v>583</v>
      </c>
      <c r="C34" s="108" t="s">
        <v>572</v>
      </c>
      <c r="D34" s="109">
        <v>5</v>
      </c>
      <c r="E34" s="109" t="s">
        <v>7</v>
      </c>
      <c r="F34" s="109" t="s">
        <v>7</v>
      </c>
      <c r="G34" s="109" t="s">
        <v>7</v>
      </c>
      <c r="H34" s="109" t="s">
        <v>7</v>
      </c>
      <c r="I34" s="109" t="s">
        <v>7</v>
      </c>
    </row>
    <row r="35" spans="2:9" x14ac:dyDescent="0.25">
      <c r="B35" s="108" t="s">
        <v>584</v>
      </c>
      <c r="C35" s="108" t="s">
        <v>585</v>
      </c>
      <c r="D35" s="109">
        <v>3</v>
      </c>
      <c r="E35" s="109">
        <v>3</v>
      </c>
      <c r="F35" s="109">
        <v>3</v>
      </c>
      <c r="G35" s="109">
        <v>5</v>
      </c>
      <c r="H35" s="109" t="s">
        <v>7</v>
      </c>
      <c r="I35" s="109">
        <v>5</v>
      </c>
    </row>
    <row r="36" spans="2:9" x14ac:dyDescent="0.25">
      <c r="B36" s="108" t="s">
        <v>586</v>
      </c>
      <c r="C36" s="108" t="s">
        <v>644</v>
      </c>
      <c r="D36" s="109">
        <v>4</v>
      </c>
      <c r="E36" s="109">
        <v>4</v>
      </c>
      <c r="F36" s="109">
        <v>4</v>
      </c>
      <c r="G36" s="109">
        <v>6</v>
      </c>
      <c r="H36" s="109" t="s">
        <v>7</v>
      </c>
      <c r="I36" s="109" t="s">
        <v>7</v>
      </c>
    </row>
    <row r="37" spans="2:9" x14ac:dyDescent="0.25">
      <c r="B37" s="108" t="s">
        <v>587</v>
      </c>
      <c r="C37" s="108" t="s">
        <v>588</v>
      </c>
      <c r="D37" s="109">
        <v>3</v>
      </c>
      <c r="E37" s="109">
        <v>3</v>
      </c>
      <c r="F37" s="109" t="s">
        <v>7</v>
      </c>
      <c r="G37" s="109" t="s">
        <v>7</v>
      </c>
      <c r="H37" s="109">
        <v>3</v>
      </c>
      <c r="I37" s="109">
        <v>3</v>
      </c>
    </row>
    <row r="38" spans="2:9" x14ac:dyDescent="0.25">
      <c r="B38" s="108" t="s">
        <v>589</v>
      </c>
      <c r="C38" s="108" t="s">
        <v>566</v>
      </c>
      <c r="D38" s="109">
        <v>4</v>
      </c>
      <c r="E38" s="109">
        <v>5</v>
      </c>
      <c r="F38" s="109">
        <v>5</v>
      </c>
      <c r="G38" s="109">
        <v>5</v>
      </c>
      <c r="H38" s="109" t="s">
        <v>7</v>
      </c>
      <c r="I38" s="109" t="s">
        <v>7</v>
      </c>
    </row>
    <row r="39" spans="2:9" x14ac:dyDescent="0.25">
      <c r="B39" s="108" t="s">
        <v>590</v>
      </c>
      <c r="C39" s="108" t="s">
        <v>591</v>
      </c>
      <c r="D39" s="109">
        <v>6</v>
      </c>
      <c r="E39" s="109" t="s">
        <v>7</v>
      </c>
      <c r="F39" s="109">
        <v>6</v>
      </c>
      <c r="G39" s="109">
        <v>6</v>
      </c>
      <c r="H39" s="109" t="s">
        <v>7</v>
      </c>
      <c r="I39" s="109" t="s">
        <v>7</v>
      </c>
    </row>
    <row r="40" spans="2:9" x14ac:dyDescent="0.25">
      <c r="B40" s="108" t="s">
        <v>610</v>
      </c>
      <c r="C40" s="108" t="s">
        <v>604</v>
      </c>
      <c r="D40" s="109" t="s">
        <v>7</v>
      </c>
      <c r="E40" s="109">
        <v>5</v>
      </c>
      <c r="F40" s="109" t="s">
        <v>7</v>
      </c>
      <c r="G40" s="109" t="s">
        <v>7</v>
      </c>
      <c r="H40" s="109" t="s">
        <v>7</v>
      </c>
      <c r="I40" s="109" t="s">
        <v>7</v>
      </c>
    </row>
    <row r="41" spans="2:9" x14ac:dyDescent="0.25">
      <c r="B41" s="108" t="s">
        <v>82</v>
      </c>
      <c r="C41" s="108" t="s">
        <v>592</v>
      </c>
      <c r="D41" s="109">
        <v>2</v>
      </c>
      <c r="E41" s="109">
        <v>2</v>
      </c>
      <c r="F41" s="109">
        <v>2</v>
      </c>
      <c r="G41" s="109">
        <v>2</v>
      </c>
      <c r="H41" s="109">
        <v>2</v>
      </c>
      <c r="I41" s="109">
        <v>2</v>
      </c>
    </row>
    <row r="42" spans="2:9" x14ac:dyDescent="0.25">
      <c r="B42" s="108" t="s">
        <v>611</v>
      </c>
      <c r="C42" s="108" t="s">
        <v>612</v>
      </c>
      <c r="D42" s="109" t="s">
        <v>7</v>
      </c>
      <c r="E42" s="109">
        <v>2</v>
      </c>
      <c r="F42" s="109" t="s">
        <v>7</v>
      </c>
      <c r="G42" s="109" t="s">
        <v>7</v>
      </c>
      <c r="H42" s="109">
        <v>2</v>
      </c>
      <c r="I42" s="109" t="s">
        <v>7</v>
      </c>
    </row>
    <row r="43" spans="2:9" x14ac:dyDescent="0.25">
      <c r="B43" s="108" t="s">
        <v>613</v>
      </c>
      <c r="C43" s="108" t="s">
        <v>612</v>
      </c>
      <c r="D43" s="109" t="s">
        <v>7</v>
      </c>
      <c r="E43" s="109">
        <v>3</v>
      </c>
      <c r="F43" s="109" t="s">
        <v>7</v>
      </c>
      <c r="G43" s="109" t="s">
        <v>7</v>
      </c>
      <c r="H43" s="109">
        <v>3</v>
      </c>
      <c r="I43" s="109" t="s">
        <v>7</v>
      </c>
    </row>
    <row r="44" spans="2:9" x14ac:dyDescent="0.25">
      <c r="B44" s="108" t="s">
        <v>593</v>
      </c>
      <c r="C44" s="108" t="s">
        <v>571</v>
      </c>
      <c r="D44" s="109">
        <v>1</v>
      </c>
      <c r="E44" s="109">
        <v>1</v>
      </c>
      <c r="F44" s="109">
        <v>1</v>
      </c>
      <c r="G44" s="109">
        <v>1</v>
      </c>
      <c r="H44" s="109">
        <v>1</v>
      </c>
      <c r="I44" s="109">
        <v>1</v>
      </c>
    </row>
    <row r="45" spans="2:9" x14ac:dyDescent="0.25">
      <c r="B45" s="108" t="s">
        <v>594</v>
      </c>
      <c r="C45" s="108" t="s">
        <v>595</v>
      </c>
      <c r="D45" s="109">
        <v>2</v>
      </c>
      <c r="E45" s="109">
        <v>3</v>
      </c>
      <c r="F45" s="109">
        <v>4</v>
      </c>
      <c r="G45" s="109">
        <v>4</v>
      </c>
      <c r="H45" s="109">
        <v>4</v>
      </c>
      <c r="I45" s="109">
        <v>4</v>
      </c>
    </row>
    <row r="46" spans="2:9" x14ac:dyDescent="0.25">
      <c r="B46" s="108" t="s">
        <v>596</v>
      </c>
      <c r="C46" s="108" t="s">
        <v>597</v>
      </c>
      <c r="D46" s="109">
        <v>3</v>
      </c>
      <c r="E46" s="109">
        <v>4</v>
      </c>
      <c r="F46" s="109" t="s">
        <v>7</v>
      </c>
      <c r="G46" s="109" t="s">
        <v>7</v>
      </c>
      <c r="H46" s="109" t="s">
        <v>7</v>
      </c>
      <c r="I46" s="109" t="s">
        <v>7</v>
      </c>
    </row>
    <row r="47" spans="2:9" x14ac:dyDescent="0.25">
      <c r="B47" s="108" t="s">
        <v>620</v>
      </c>
      <c r="C47" s="108" t="s">
        <v>621</v>
      </c>
      <c r="D47" s="109" t="s">
        <v>7</v>
      </c>
      <c r="E47" s="109" t="s">
        <v>7</v>
      </c>
      <c r="F47" s="109">
        <v>3</v>
      </c>
      <c r="G47" s="109">
        <v>3</v>
      </c>
      <c r="H47" s="109">
        <v>3</v>
      </c>
      <c r="I47" s="109">
        <v>3</v>
      </c>
    </row>
    <row r="48" spans="2:9" x14ac:dyDescent="0.25">
      <c r="B48" s="108" t="s">
        <v>622</v>
      </c>
      <c r="C48" s="108" t="s">
        <v>619</v>
      </c>
      <c r="D48" s="109" t="s">
        <v>7</v>
      </c>
      <c r="E48" s="109" t="s">
        <v>7</v>
      </c>
      <c r="F48" s="109">
        <v>3</v>
      </c>
      <c r="G48" s="109">
        <v>4</v>
      </c>
      <c r="H48" s="109" t="s">
        <v>7</v>
      </c>
      <c r="I48" s="109" t="s">
        <v>7</v>
      </c>
    </row>
    <row r="49" spans="2:9" x14ac:dyDescent="0.25">
      <c r="B49" s="108" t="s">
        <v>623</v>
      </c>
      <c r="C49" s="108" t="s">
        <v>619</v>
      </c>
      <c r="D49" s="109" t="s">
        <v>7</v>
      </c>
      <c r="E49" s="109" t="s">
        <v>7</v>
      </c>
      <c r="F49" s="109">
        <v>4</v>
      </c>
      <c r="G49" s="109">
        <v>5</v>
      </c>
      <c r="H49" s="109" t="s">
        <v>7</v>
      </c>
      <c r="I49" s="109" t="s">
        <v>7</v>
      </c>
    </row>
    <row r="50" spans="2:9" x14ac:dyDescent="0.25">
      <c r="B50" s="108" t="s">
        <v>624</v>
      </c>
      <c r="C50" s="108" t="s">
        <v>647</v>
      </c>
      <c r="D50" s="109" t="s">
        <v>7</v>
      </c>
      <c r="E50" s="109" t="s">
        <v>7</v>
      </c>
      <c r="F50" s="109">
        <v>6</v>
      </c>
      <c r="G50" s="109">
        <v>6</v>
      </c>
      <c r="H50" s="109" t="s">
        <v>7</v>
      </c>
      <c r="I50" s="109" t="s">
        <v>7</v>
      </c>
    </row>
    <row r="51" spans="2:9" x14ac:dyDescent="0.25">
      <c r="B51" s="108" t="s">
        <v>625</v>
      </c>
      <c r="C51" s="108" t="s">
        <v>618</v>
      </c>
      <c r="D51" s="109" t="s">
        <v>7</v>
      </c>
      <c r="E51" s="109" t="s">
        <v>7</v>
      </c>
      <c r="F51" s="109">
        <v>2</v>
      </c>
      <c r="G51" s="109" t="s">
        <v>7</v>
      </c>
      <c r="H51" s="109" t="s">
        <v>7</v>
      </c>
      <c r="I51" s="109" t="s">
        <v>7</v>
      </c>
    </row>
    <row r="52" spans="2:9" x14ac:dyDescent="0.25">
      <c r="B52" s="108" t="s">
        <v>598</v>
      </c>
      <c r="C52" s="108" t="s">
        <v>571</v>
      </c>
      <c r="D52" s="109">
        <v>1</v>
      </c>
      <c r="E52" s="109">
        <v>1</v>
      </c>
      <c r="F52" s="109">
        <v>1</v>
      </c>
      <c r="G52" s="109">
        <v>1</v>
      </c>
      <c r="H52" s="109">
        <v>1</v>
      </c>
      <c r="I52" s="109">
        <v>1</v>
      </c>
    </row>
    <row r="53" spans="2:9" x14ac:dyDescent="0.25">
      <c r="B53" s="108" t="s">
        <v>599</v>
      </c>
      <c r="C53" s="108" t="s">
        <v>600</v>
      </c>
      <c r="D53" s="109">
        <v>4</v>
      </c>
      <c r="E53" s="109" t="s">
        <v>7</v>
      </c>
      <c r="F53" s="109">
        <v>4</v>
      </c>
      <c r="G53" s="109">
        <v>6</v>
      </c>
      <c r="H53" s="109">
        <v>6</v>
      </c>
      <c r="I53" s="109" t="s">
        <v>7</v>
      </c>
    </row>
    <row r="54" spans="2:9" x14ac:dyDescent="0.25">
      <c r="B54" s="108" t="s">
        <v>601</v>
      </c>
      <c r="C54" s="108" t="s">
        <v>560</v>
      </c>
      <c r="D54" s="109">
        <v>5</v>
      </c>
      <c r="E54" s="109">
        <v>5</v>
      </c>
      <c r="F54" s="109">
        <v>5</v>
      </c>
      <c r="G54" s="109">
        <v>6</v>
      </c>
      <c r="H54" s="109">
        <v>5</v>
      </c>
      <c r="I54" s="109">
        <v>5</v>
      </c>
    </row>
    <row r="55" spans="2:9" x14ac:dyDescent="0.25">
      <c r="B55" s="108" t="s">
        <v>602</v>
      </c>
      <c r="C55" s="108" t="s">
        <v>588</v>
      </c>
      <c r="D55" s="109">
        <v>3</v>
      </c>
      <c r="E55" s="109">
        <v>3</v>
      </c>
      <c r="F55" s="109" t="s">
        <v>7</v>
      </c>
      <c r="G55" s="109" t="s">
        <v>7</v>
      </c>
      <c r="H55" s="109">
        <v>3</v>
      </c>
      <c r="I55" s="109">
        <v>3</v>
      </c>
    </row>
    <row r="56" spans="2:9" x14ac:dyDescent="0.25">
      <c r="B56" s="108" t="s">
        <v>83</v>
      </c>
      <c r="C56" s="108" t="s">
        <v>572</v>
      </c>
      <c r="D56" s="109">
        <v>5</v>
      </c>
      <c r="E56" s="109" t="s">
        <v>7</v>
      </c>
      <c r="F56" s="109" t="s">
        <v>7</v>
      </c>
      <c r="G56" s="109" t="s">
        <v>7</v>
      </c>
      <c r="H56" s="109" t="s">
        <v>7</v>
      </c>
      <c r="I56" s="109" t="s">
        <v>7</v>
      </c>
    </row>
    <row r="57" spans="2:9" x14ac:dyDescent="0.25">
      <c r="B57" s="108" t="s">
        <v>614</v>
      </c>
      <c r="C57" s="108" t="s">
        <v>615</v>
      </c>
      <c r="D57" s="109" t="s">
        <v>7</v>
      </c>
      <c r="E57" s="109">
        <v>5</v>
      </c>
      <c r="F57" s="109">
        <v>5</v>
      </c>
      <c r="G57" s="109">
        <v>6</v>
      </c>
      <c r="H57" s="109" t="s">
        <v>7</v>
      </c>
      <c r="I57" s="109">
        <v>3</v>
      </c>
    </row>
    <row r="58" spans="2:9" x14ac:dyDescent="0.25">
      <c r="B58" s="108" t="s">
        <v>631</v>
      </c>
      <c r="C58" s="108" t="s">
        <v>633</v>
      </c>
      <c r="D58" s="109" t="s">
        <v>7</v>
      </c>
      <c r="E58" s="109" t="s">
        <v>7</v>
      </c>
      <c r="F58" s="109" t="s">
        <v>7</v>
      </c>
      <c r="G58" s="109" t="s">
        <v>7</v>
      </c>
      <c r="H58" s="109">
        <v>1</v>
      </c>
      <c r="I58" s="109">
        <v>1</v>
      </c>
    </row>
    <row r="59" spans="2:9" x14ac:dyDescent="0.25">
      <c r="B59" s="108" t="s">
        <v>632</v>
      </c>
      <c r="C59" s="108" t="s">
        <v>633</v>
      </c>
      <c r="D59" s="109" t="s">
        <v>7</v>
      </c>
      <c r="E59" s="109" t="s">
        <v>7</v>
      </c>
      <c r="F59" s="109" t="s">
        <v>7</v>
      </c>
      <c r="G59" s="109" t="s">
        <v>7</v>
      </c>
      <c r="H59" s="109">
        <v>2</v>
      </c>
      <c r="I59" s="109">
        <v>2</v>
      </c>
    </row>
    <row r="60" spans="2:9" x14ac:dyDescent="0.25">
      <c r="B60" s="108" t="s">
        <v>616</v>
      </c>
      <c r="C60" s="108" t="s">
        <v>648</v>
      </c>
      <c r="D60" s="109" t="s">
        <v>7</v>
      </c>
      <c r="E60" s="109">
        <v>6</v>
      </c>
      <c r="F60" s="109" t="s">
        <v>7</v>
      </c>
      <c r="G60" s="109">
        <v>6</v>
      </c>
      <c r="H60" s="109" t="s">
        <v>7</v>
      </c>
      <c r="I60" s="109" t="s">
        <v>7</v>
      </c>
    </row>
    <row r="61" spans="2:9" x14ac:dyDescent="0.25">
      <c r="B61" s="116" t="s">
        <v>636</v>
      </c>
      <c r="C61" s="116"/>
      <c r="D61" s="116"/>
      <c r="E61" s="116"/>
      <c r="F61" s="116"/>
      <c r="G61" s="116"/>
      <c r="H61" s="116"/>
      <c r="I61" s="116"/>
    </row>
    <row r="62" spans="2:9" x14ac:dyDescent="0.25">
      <c r="B62" s="116" t="s">
        <v>654</v>
      </c>
      <c r="C62" s="116"/>
      <c r="D62" s="116"/>
      <c r="E62" s="116"/>
      <c r="F62" s="116"/>
      <c r="G62" s="116"/>
      <c r="H62" s="116"/>
      <c r="I62" s="116"/>
    </row>
    <row r="63" spans="2:9" x14ac:dyDescent="0.25">
      <c r="B63" s="115" t="s">
        <v>649</v>
      </c>
      <c r="C63" s="116"/>
      <c r="D63" s="116"/>
      <c r="E63" s="116"/>
      <c r="F63" s="116"/>
      <c r="G63" s="116"/>
      <c r="H63" s="116"/>
      <c r="I63" s="116"/>
    </row>
    <row r="64" spans="2:9" x14ac:dyDescent="0.25">
      <c r="B64" s="115" t="s">
        <v>650</v>
      </c>
      <c r="C64" s="116"/>
      <c r="D64" s="116"/>
      <c r="E64" s="116"/>
      <c r="F64" s="116"/>
      <c r="G64" s="116"/>
      <c r="H64" s="116"/>
      <c r="I64" s="116"/>
    </row>
    <row r="65" spans="2:9" x14ac:dyDescent="0.25">
      <c r="B65" s="115" t="s">
        <v>651</v>
      </c>
      <c r="C65" s="116"/>
      <c r="D65" s="116"/>
      <c r="E65" s="116"/>
      <c r="F65" s="116"/>
      <c r="G65" s="116"/>
      <c r="H65" s="116"/>
      <c r="I65" s="116"/>
    </row>
    <row r="66" spans="2:9" x14ac:dyDescent="0.25">
      <c r="B66" s="115" t="s">
        <v>652</v>
      </c>
      <c r="C66" s="116"/>
      <c r="D66" s="116"/>
      <c r="E66" s="116"/>
      <c r="F66" s="116"/>
      <c r="G66" s="116"/>
      <c r="H66" s="116"/>
      <c r="I66" s="116"/>
    </row>
    <row r="67" spans="2:9" x14ac:dyDescent="0.25">
      <c r="B67" s="115" t="s">
        <v>653</v>
      </c>
      <c r="C67" s="116"/>
      <c r="D67" s="116"/>
      <c r="E67" s="116"/>
      <c r="F67" s="116"/>
      <c r="G67" s="116"/>
      <c r="H67" s="116"/>
      <c r="I67" s="116"/>
    </row>
    <row r="68" spans="2:9" x14ac:dyDescent="0.25">
      <c r="B68" s="116" t="s">
        <v>638</v>
      </c>
      <c r="C68" s="116"/>
      <c r="D68" s="116"/>
      <c r="E68" s="116"/>
      <c r="F68" s="116"/>
      <c r="G68" s="116"/>
      <c r="H68" s="116"/>
      <c r="I68" s="116"/>
    </row>
    <row r="69" spans="2:9" x14ac:dyDescent="0.25">
      <c r="B69" s="116"/>
      <c r="C69" s="116"/>
      <c r="D69" s="116"/>
      <c r="E69" s="116"/>
      <c r="F69" s="116"/>
      <c r="G69" s="116"/>
      <c r="H69" s="116"/>
      <c r="I69" s="116"/>
    </row>
    <row r="70" spans="2:9" x14ac:dyDescent="0.25">
      <c r="B70" s="117">
        <v>39705</v>
      </c>
      <c r="C70" s="117"/>
      <c r="D70" s="117"/>
      <c r="E70" s="117"/>
      <c r="F70" s="117"/>
      <c r="G70" s="117"/>
      <c r="H70" s="117"/>
      <c r="I70" s="117"/>
    </row>
    <row r="71" spans="2:9" x14ac:dyDescent="0.25">
      <c r="B71" s="118" t="s">
        <v>637</v>
      </c>
      <c r="C71" s="118"/>
      <c r="D71" s="118"/>
      <c r="E71" s="118"/>
      <c r="F71" s="118"/>
      <c r="G71" s="118"/>
      <c r="H71" s="118"/>
      <c r="I71" s="118"/>
    </row>
  </sheetData>
  <sortState ref="B2:I60">
    <sortCondition ref="B2:B60"/>
  </sortState>
  <mergeCells count="11">
    <mergeCell ref="B66:I66"/>
    <mergeCell ref="B61:I61"/>
    <mergeCell ref="B62:I62"/>
    <mergeCell ref="B63:I63"/>
    <mergeCell ref="B64:I64"/>
    <mergeCell ref="B65:I65"/>
    <mergeCell ref="B67:I67"/>
    <mergeCell ref="B68:I68"/>
    <mergeCell ref="B69:I69"/>
    <mergeCell ref="B70:I70"/>
    <mergeCell ref="B71:I71"/>
  </mergeCells>
  <hyperlinks>
    <hyperlink ref="B71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D75"/>
  <sheetViews>
    <sheetView topLeftCell="A3" workbookViewId="0">
      <selection activeCell="N3" sqref="N3"/>
    </sheetView>
  </sheetViews>
  <sheetFormatPr defaultRowHeight="15" x14ac:dyDescent="0.25"/>
  <cols>
    <col min="1" max="1" width="2" style="22" customWidth="1"/>
    <col min="2" max="5" width="12.7109375" style="22" bestFit="1" customWidth="1"/>
    <col min="6" max="7" width="15.7109375" style="22" bestFit="1" customWidth="1"/>
    <col min="8" max="9" width="17.28515625" style="22" bestFit="1" customWidth="1"/>
    <col min="10" max="10" width="29.28515625" style="22" bestFit="1" customWidth="1"/>
    <col min="11" max="11" width="16" style="22" bestFit="1" customWidth="1"/>
    <col min="12" max="12" width="7" style="22" customWidth="1"/>
    <col min="13" max="13" width="8.42578125" style="22" customWidth="1"/>
    <col min="14" max="14" width="3.85546875" style="22" customWidth="1"/>
    <col min="15" max="15" width="15.140625" style="22" bestFit="1" customWidth="1"/>
    <col min="16" max="16" width="51.5703125" style="22" bestFit="1" customWidth="1"/>
    <col min="17" max="19" width="3.7109375" style="4" bestFit="1" customWidth="1"/>
    <col min="20" max="20" width="4.28515625" style="4" bestFit="1" customWidth="1"/>
    <col min="21" max="21" width="3.7109375" style="4" bestFit="1" customWidth="1"/>
    <col min="22" max="22" width="4" style="4" bestFit="1" customWidth="1"/>
    <col min="23" max="23" width="55.5703125" style="22" bestFit="1" customWidth="1"/>
    <col min="24" max="24" width="5.140625" style="4" bestFit="1" customWidth="1"/>
    <col min="25" max="25" width="7.7109375" style="22" bestFit="1" customWidth="1"/>
    <col min="26" max="30" width="6.7109375" style="22" bestFit="1" customWidth="1"/>
    <col min="31" max="31" width="4" style="22" bestFit="1" customWidth="1"/>
    <col min="32" max="16384" width="9.140625" style="22"/>
  </cols>
  <sheetData>
    <row r="1" spans="2:30" s="93" customFormat="1" x14ac:dyDescent="0.25">
      <c r="O1" s="122" t="s">
        <v>493</v>
      </c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</row>
    <row r="2" spans="2:30" ht="70.5" thickBot="1" x14ac:dyDescent="0.3">
      <c r="O2" s="33" t="s">
        <v>182</v>
      </c>
      <c r="P2" s="33" t="s">
        <v>183</v>
      </c>
      <c r="Q2" s="34" t="s">
        <v>0</v>
      </c>
      <c r="R2" s="34" t="s">
        <v>1</v>
      </c>
      <c r="S2" s="34" t="s">
        <v>2</v>
      </c>
      <c r="T2" s="34" t="s">
        <v>184</v>
      </c>
      <c r="U2" s="34" t="s">
        <v>3</v>
      </c>
      <c r="V2" s="34" t="s">
        <v>4</v>
      </c>
      <c r="W2" s="33" t="s">
        <v>185</v>
      </c>
      <c r="X2" s="34" t="s">
        <v>85</v>
      </c>
      <c r="Y2" s="34" t="s">
        <v>186</v>
      </c>
      <c r="Z2" s="34" t="s">
        <v>187</v>
      </c>
      <c r="AA2" s="34" t="s">
        <v>188</v>
      </c>
      <c r="AB2" s="34" t="s">
        <v>189</v>
      </c>
      <c r="AC2" s="34" t="s">
        <v>190</v>
      </c>
      <c r="AD2" s="34" t="s">
        <v>191</v>
      </c>
    </row>
    <row r="3" spans="2:30" ht="16.5" thickTop="1" thickBot="1" x14ac:dyDescent="0.3">
      <c r="B3" s="156" t="s">
        <v>186</v>
      </c>
      <c r="C3" s="157"/>
      <c r="D3" s="156" t="s">
        <v>187</v>
      </c>
      <c r="E3" s="157"/>
      <c r="F3" s="156" t="s">
        <v>188</v>
      </c>
      <c r="G3" s="157"/>
      <c r="H3" s="156" t="s">
        <v>189</v>
      </c>
      <c r="I3" s="157"/>
      <c r="J3" s="156" t="s">
        <v>190</v>
      </c>
      <c r="K3" s="157"/>
      <c r="L3" s="156" t="s">
        <v>191</v>
      </c>
      <c r="M3" s="157"/>
      <c r="O3" s="39" t="s">
        <v>27</v>
      </c>
      <c r="P3" s="40" t="s">
        <v>326</v>
      </c>
      <c r="Q3" s="41">
        <v>3</v>
      </c>
      <c r="R3" s="42" t="s">
        <v>10</v>
      </c>
      <c r="S3" s="43"/>
      <c r="T3" s="43"/>
      <c r="U3" s="41">
        <v>1</v>
      </c>
      <c r="V3" s="41">
        <v>4</v>
      </c>
      <c r="W3" s="42" t="s">
        <v>7</v>
      </c>
      <c r="X3" s="41">
        <v>1</v>
      </c>
      <c r="Y3" s="42" t="s">
        <v>28</v>
      </c>
      <c r="Z3" s="43"/>
      <c r="AA3" s="43"/>
      <c r="AB3" s="43"/>
      <c r="AC3" s="43"/>
      <c r="AD3" s="43"/>
    </row>
    <row r="4" spans="2:30" s="94" customFormat="1" ht="15.75" hidden="1" thickTop="1" x14ac:dyDescent="0.25"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O4" s="44"/>
      <c r="P4" s="45"/>
      <c r="Q4" s="46"/>
      <c r="R4" s="47"/>
      <c r="S4" s="48"/>
      <c r="T4" s="48"/>
      <c r="U4" s="46"/>
      <c r="V4" s="46"/>
      <c r="W4" s="47"/>
      <c r="X4" s="46"/>
      <c r="Y4" s="47"/>
      <c r="Z4" s="48"/>
      <c r="AA4" s="48"/>
      <c r="AB4" s="48"/>
      <c r="AC4" s="48"/>
      <c r="AD4" s="48"/>
    </row>
    <row r="5" spans="2:30" ht="15.75" thickTop="1" x14ac:dyDescent="0.25">
      <c r="B5" s="158" t="s">
        <v>220</v>
      </c>
      <c r="C5" s="158" t="s">
        <v>221</v>
      </c>
      <c r="D5" s="25"/>
      <c r="E5" s="25"/>
      <c r="F5" s="25"/>
      <c r="G5" s="25"/>
      <c r="H5" s="134" t="s">
        <v>521</v>
      </c>
      <c r="I5" s="135"/>
      <c r="J5" s="25"/>
      <c r="K5" s="25"/>
      <c r="L5" s="25"/>
      <c r="M5" s="25"/>
      <c r="O5" s="39" t="s">
        <v>29</v>
      </c>
      <c r="P5" s="40" t="s">
        <v>326</v>
      </c>
      <c r="Q5" s="43"/>
      <c r="R5" s="43"/>
      <c r="S5" s="41">
        <v>3</v>
      </c>
      <c r="T5" s="42" t="s">
        <v>13</v>
      </c>
      <c r="U5" s="43"/>
      <c r="V5" s="41">
        <v>3</v>
      </c>
      <c r="W5" s="42" t="s">
        <v>7</v>
      </c>
      <c r="X5" s="41">
        <v>1</v>
      </c>
      <c r="Y5" s="42" t="s">
        <v>30</v>
      </c>
      <c r="Z5" s="43"/>
      <c r="AA5" s="43"/>
      <c r="AB5" s="43"/>
      <c r="AC5" s="43"/>
      <c r="AD5" s="43"/>
    </row>
    <row r="6" spans="2:30" x14ac:dyDescent="0.25">
      <c r="B6" s="159"/>
      <c r="C6" s="159"/>
      <c r="D6" s="25"/>
      <c r="E6" s="25"/>
      <c r="F6" s="25"/>
      <c r="G6" s="25"/>
      <c r="H6" s="134" t="s">
        <v>252</v>
      </c>
      <c r="I6" s="135"/>
      <c r="J6" s="25"/>
      <c r="K6" s="25"/>
      <c r="L6" s="25"/>
      <c r="M6" s="25"/>
      <c r="O6" s="39" t="s">
        <v>467</v>
      </c>
      <c r="P6" s="49" t="s">
        <v>539</v>
      </c>
      <c r="Q6" s="43"/>
      <c r="R6" s="43"/>
      <c r="S6" s="41">
        <v>45</v>
      </c>
      <c r="T6" s="42" t="s">
        <v>468</v>
      </c>
      <c r="U6" s="43"/>
      <c r="V6" s="41">
        <v>0</v>
      </c>
      <c r="W6" s="42" t="s">
        <v>7</v>
      </c>
      <c r="X6" s="41">
        <v>1</v>
      </c>
      <c r="Y6" s="42" t="s">
        <v>469</v>
      </c>
      <c r="Z6" s="43"/>
      <c r="AA6" s="43"/>
      <c r="AB6" s="43"/>
      <c r="AC6" s="43"/>
      <c r="AD6" s="43"/>
    </row>
    <row r="7" spans="2:30" x14ac:dyDescent="0.25">
      <c r="B7" s="160"/>
      <c r="C7" s="160"/>
      <c r="D7" s="25"/>
      <c r="E7" s="25"/>
      <c r="F7" s="158" t="s">
        <v>231</v>
      </c>
      <c r="G7" s="161" t="s">
        <v>232</v>
      </c>
      <c r="H7" s="158" t="s">
        <v>523</v>
      </c>
      <c r="I7" s="158" t="s">
        <v>524</v>
      </c>
      <c r="J7" s="163" t="s">
        <v>531</v>
      </c>
      <c r="K7" s="164"/>
      <c r="L7" s="25"/>
      <c r="M7" s="25"/>
      <c r="O7" s="39" t="s">
        <v>66</v>
      </c>
      <c r="P7" s="40" t="s">
        <v>470</v>
      </c>
      <c r="Q7" s="41">
        <v>2</v>
      </c>
      <c r="R7" s="42" t="s">
        <v>10</v>
      </c>
      <c r="S7" s="43"/>
      <c r="T7" s="43"/>
      <c r="U7" s="43"/>
      <c r="V7" s="41">
        <v>2</v>
      </c>
      <c r="W7" s="42" t="s">
        <v>7</v>
      </c>
      <c r="X7" s="41">
        <v>1</v>
      </c>
      <c r="Y7" s="42" t="s">
        <v>11</v>
      </c>
      <c r="Z7" s="43"/>
      <c r="AA7" s="43"/>
      <c r="AB7" s="43"/>
      <c r="AC7" s="43"/>
      <c r="AD7" s="43"/>
    </row>
    <row r="8" spans="2:30" x14ac:dyDescent="0.25">
      <c r="B8" s="167" t="s">
        <v>219</v>
      </c>
      <c r="C8" s="168"/>
      <c r="D8" s="136" t="s">
        <v>224</v>
      </c>
      <c r="E8" s="136" t="s">
        <v>225</v>
      </c>
      <c r="F8" s="160"/>
      <c r="G8" s="162"/>
      <c r="H8" s="160"/>
      <c r="I8" s="160"/>
      <c r="J8" s="165"/>
      <c r="K8" s="166"/>
      <c r="L8" s="25"/>
      <c r="M8" s="25"/>
      <c r="O8" s="39" t="s">
        <v>65</v>
      </c>
      <c r="P8" s="40" t="s">
        <v>471</v>
      </c>
      <c r="Q8" s="41">
        <v>3</v>
      </c>
      <c r="R8" s="42" t="s">
        <v>10</v>
      </c>
      <c r="S8" s="43"/>
      <c r="T8" s="43"/>
      <c r="U8" s="43"/>
      <c r="V8" s="41">
        <v>3</v>
      </c>
      <c r="W8" s="42" t="s">
        <v>7</v>
      </c>
      <c r="X8" s="41">
        <v>1</v>
      </c>
      <c r="Y8" s="42" t="s">
        <v>28</v>
      </c>
      <c r="Z8" s="43"/>
      <c r="AA8" s="43"/>
      <c r="AB8" s="43"/>
      <c r="AC8" s="43"/>
      <c r="AD8" s="43"/>
    </row>
    <row r="9" spans="2:30" x14ac:dyDescent="0.25">
      <c r="B9" s="169"/>
      <c r="C9" s="170"/>
      <c r="D9" s="137"/>
      <c r="E9" s="137"/>
      <c r="F9" s="136" t="s">
        <v>229</v>
      </c>
      <c r="G9" s="136" t="s">
        <v>230</v>
      </c>
      <c r="H9" s="16"/>
      <c r="I9" s="36"/>
      <c r="J9" s="6" t="s">
        <v>519</v>
      </c>
      <c r="K9" s="6" t="s">
        <v>520</v>
      </c>
      <c r="L9" s="173" t="s">
        <v>529</v>
      </c>
      <c r="M9" s="174"/>
      <c r="O9" s="39" t="s">
        <v>33</v>
      </c>
      <c r="P9" s="40" t="s">
        <v>329</v>
      </c>
      <c r="Q9" s="41">
        <v>2</v>
      </c>
      <c r="R9" s="42" t="s">
        <v>10</v>
      </c>
      <c r="S9" s="43"/>
      <c r="T9" s="43"/>
      <c r="U9" s="43"/>
      <c r="V9" s="41">
        <v>2</v>
      </c>
      <c r="W9" s="42" t="s">
        <v>7</v>
      </c>
      <c r="X9" s="41">
        <v>1</v>
      </c>
      <c r="Y9" s="42" t="s">
        <v>11</v>
      </c>
      <c r="Z9" s="43"/>
      <c r="AA9" s="43"/>
      <c r="AB9" s="43"/>
      <c r="AC9" s="43"/>
      <c r="AD9" s="43"/>
    </row>
    <row r="10" spans="2:30" x14ac:dyDescent="0.25">
      <c r="B10" s="139"/>
      <c r="C10" s="171"/>
      <c r="D10" s="138"/>
      <c r="E10" s="138"/>
      <c r="F10" s="138"/>
      <c r="G10" s="139"/>
      <c r="H10" s="6" t="s">
        <v>525</v>
      </c>
      <c r="I10" s="28" t="s">
        <v>526</v>
      </c>
      <c r="J10" s="6" t="s">
        <v>532</v>
      </c>
      <c r="K10" s="6" t="s">
        <v>533</v>
      </c>
      <c r="L10" s="4"/>
      <c r="M10" s="4"/>
      <c r="O10" s="39" t="s">
        <v>34</v>
      </c>
      <c r="P10" s="40" t="s">
        <v>329</v>
      </c>
      <c r="Q10" s="43"/>
      <c r="R10" s="43"/>
      <c r="S10" s="41">
        <v>2</v>
      </c>
      <c r="T10" s="42" t="s">
        <v>13</v>
      </c>
      <c r="U10" s="43"/>
      <c r="V10" s="41">
        <v>2</v>
      </c>
      <c r="W10" s="42" t="s">
        <v>7</v>
      </c>
      <c r="X10" s="41">
        <v>1</v>
      </c>
      <c r="Y10" s="42" t="s">
        <v>14</v>
      </c>
      <c r="Z10" s="43"/>
      <c r="AA10" s="43"/>
      <c r="AB10" s="43"/>
      <c r="AC10" s="43"/>
      <c r="AD10" s="43"/>
    </row>
    <row r="11" spans="2:30" x14ac:dyDescent="0.25">
      <c r="B11" s="175" t="s">
        <v>222</v>
      </c>
      <c r="C11" s="175" t="s">
        <v>223</v>
      </c>
      <c r="D11" s="175" t="s">
        <v>246</v>
      </c>
      <c r="E11" s="175" t="s">
        <v>226</v>
      </c>
      <c r="F11" s="4"/>
      <c r="G11" s="4"/>
      <c r="H11" s="29" t="s">
        <v>527</v>
      </c>
      <c r="I11" s="29" t="s">
        <v>528</v>
      </c>
      <c r="J11" s="4"/>
      <c r="K11" s="4"/>
      <c r="L11" s="4"/>
      <c r="M11" s="4"/>
      <c r="O11" s="39" t="s">
        <v>5</v>
      </c>
      <c r="P11" s="40" t="s">
        <v>472</v>
      </c>
      <c r="Q11" s="43"/>
      <c r="R11" s="43"/>
      <c r="S11" s="41">
        <v>2</v>
      </c>
      <c r="T11" s="42" t="s">
        <v>6</v>
      </c>
      <c r="U11" s="41">
        <v>-1</v>
      </c>
      <c r="V11" s="41">
        <v>1</v>
      </c>
      <c r="W11" s="42" t="s">
        <v>7</v>
      </c>
      <c r="X11" s="41">
        <v>1</v>
      </c>
      <c r="Y11" s="42" t="s">
        <v>8</v>
      </c>
      <c r="Z11" s="43"/>
      <c r="AA11" s="43"/>
      <c r="AB11" s="43"/>
      <c r="AC11" s="43"/>
      <c r="AD11" s="43"/>
    </row>
    <row r="12" spans="2:30" x14ac:dyDescent="0.25">
      <c r="B12" s="176"/>
      <c r="C12" s="176"/>
      <c r="D12" s="177"/>
      <c r="E12" s="177"/>
      <c r="F12" s="175" t="s">
        <v>236</v>
      </c>
      <c r="G12" s="175" t="s">
        <v>237</v>
      </c>
      <c r="H12" s="4"/>
      <c r="I12" s="4"/>
      <c r="J12" s="4"/>
      <c r="K12" s="4"/>
      <c r="L12" s="4"/>
      <c r="M12" s="4"/>
      <c r="O12" s="39" t="s">
        <v>49</v>
      </c>
      <c r="P12" s="40" t="s">
        <v>335</v>
      </c>
      <c r="Q12" s="41">
        <v>2</v>
      </c>
      <c r="R12" s="42" t="s">
        <v>25</v>
      </c>
      <c r="S12" s="41">
        <v>2</v>
      </c>
      <c r="T12" s="43"/>
      <c r="U12" s="41">
        <v>1</v>
      </c>
      <c r="V12" s="41">
        <v>5</v>
      </c>
      <c r="W12" s="42" t="s">
        <v>7</v>
      </c>
      <c r="X12" s="41">
        <v>1</v>
      </c>
      <c r="Y12" s="42" t="s">
        <v>50</v>
      </c>
      <c r="Z12" s="43"/>
      <c r="AA12" s="43"/>
      <c r="AB12" s="43"/>
      <c r="AC12" s="43"/>
      <c r="AD12" s="43"/>
    </row>
    <row r="13" spans="2:30" x14ac:dyDescent="0.25">
      <c r="B13" s="176"/>
      <c r="C13" s="176"/>
      <c r="D13" s="178" t="s">
        <v>227</v>
      </c>
      <c r="E13" s="12" t="s">
        <v>228</v>
      </c>
      <c r="F13" s="177"/>
      <c r="G13" s="177"/>
      <c r="H13" s="4"/>
      <c r="I13" s="4"/>
      <c r="J13" s="4"/>
      <c r="K13" s="4"/>
      <c r="L13" s="4"/>
      <c r="M13" s="4"/>
      <c r="O13" s="39" t="s">
        <v>51</v>
      </c>
      <c r="P13" s="40" t="s">
        <v>336</v>
      </c>
      <c r="Q13" s="41">
        <v>2</v>
      </c>
      <c r="R13" s="42" t="s">
        <v>25</v>
      </c>
      <c r="S13" s="41">
        <v>2</v>
      </c>
      <c r="T13" s="43"/>
      <c r="U13" s="41">
        <v>1</v>
      </c>
      <c r="V13" s="41">
        <v>5</v>
      </c>
      <c r="W13" s="42" t="s">
        <v>7</v>
      </c>
      <c r="X13" s="41">
        <v>1</v>
      </c>
      <c r="Y13" s="42" t="s">
        <v>50</v>
      </c>
      <c r="Z13" s="43"/>
      <c r="AA13" s="43"/>
      <c r="AB13" s="43"/>
      <c r="AC13" s="43"/>
      <c r="AD13" s="43"/>
    </row>
    <row r="14" spans="2:30" x14ac:dyDescent="0.25">
      <c r="B14" s="177"/>
      <c r="C14" s="177"/>
      <c r="D14" s="179"/>
      <c r="E14" s="4"/>
      <c r="F14" s="4"/>
      <c r="G14" s="4"/>
      <c r="H14" s="4"/>
      <c r="I14" s="4"/>
      <c r="J14" s="178" t="s">
        <v>260</v>
      </c>
      <c r="K14" s="178" t="s">
        <v>266</v>
      </c>
      <c r="L14" s="4"/>
      <c r="M14" s="4"/>
      <c r="O14" s="44" t="s">
        <v>9</v>
      </c>
      <c r="P14" s="45" t="s">
        <v>319</v>
      </c>
      <c r="Q14" s="46">
        <v>2</v>
      </c>
      <c r="R14" s="47" t="s">
        <v>10</v>
      </c>
      <c r="S14" s="48"/>
      <c r="T14" s="48"/>
      <c r="U14" s="46">
        <v>1</v>
      </c>
      <c r="V14" s="46">
        <v>3</v>
      </c>
      <c r="W14" s="48"/>
      <c r="X14" s="46">
        <v>2</v>
      </c>
      <c r="Y14" s="48"/>
      <c r="Z14" s="47" t="s">
        <v>11</v>
      </c>
      <c r="AA14" s="48"/>
      <c r="AB14" s="48"/>
      <c r="AC14" s="48"/>
      <c r="AD14" s="48"/>
    </row>
    <row r="15" spans="2:30" x14ac:dyDescent="0.25">
      <c r="B15" s="4"/>
      <c r="C15" s="4"/>
      <c r="D15" s="181" t="s">
        <v>555</v>
      </c>
      <c r="E15" s="182"/>
      <c r="F15" s="4"/>
      <c r="G15" s="4"/>
      <c r="H15" s="4"/>
      <c r="I15" s="4"/>
      <c r="J15" s="180"/>
      <c r="K15" s="180"/>
      <c r="L15" s="4"/>
      <c r="M15" s="4"/>
      <c r="O15" s="44" t="s">
        <v>12</v>
      </c>
      <c r="P15" s="45" t="s">
        <v>319</v>
      </c>
      <c r="Q15" s="48"/>
      <c r="R15" s="48"/>
      <c r="S15" s="46">
        <v>2</v>
      </c>
      <c r="T15" s="47" t="s">
        <v>13</v>
      </c>
      <c r="U15" s="48"/>
      <c r="V15" s="46">
        <v>2</v>
      </c>
      <c r="W15" s="47" t="s">
        <v>5</v>
      </c>
      <c r="X15" s="46">
        <v>2</v>
      </c>
      <c r="Y15" s="48"/>
      <c r="Z15" s="47" t="s">
        <v>14</v>
      </c>
      <c r="AA15" s="48"/>
      <c r="AB15" s="48"/>
      <c r="AC15" s="48"/>
      <c r="AD15" s="48"/>
    </row>
    <row r="16" spans="2:30" x14ac:dyDescent="0.25">
      <c r="B16" s="4"/>
      <c r="C16" s="4"/>
      <c r="D16" s="183"/>
      <c r="E16" s="184"/>
      <c r="F16" s="4"/>
      <c r="G16" s="4"/>
      <c r="H16" s="4"/>
      <c r="I16" s="4"/>
      <c r="J16" s="31" t="s">
        <v>263</v>
      </c>
      <c r="K16" s="31" t="s">
        <v>267</v>
      </c>
      <c r="L16" s="25"/>
      <c r="M16" s="25"/>
      <c r="O16" s="44" t="s">
        <v>31</v>
      </c>
      <c r="P16" s="45" t="s">
        <v>327</v>
      </c>
      <c r="Q16" s="46">
        <v>3</v>
      </c>
      <c r="R16" s="47" t="s">
        <v>10</v>
      </c>
      <c r="S16" s="48"/>
      <c r="T16" s="48"/>
      <c r="U16" s="48"/>
      <c r="V16" s="46">
        <v>3</v>
      </c>
      <c r="W16" s="48"/>
      <c r="X16" s="46">
        <v>2</v>
      </c>
      <c r="Y16" s="48"/>
      <c r="Z16" s="47" t="s">
        <v>28</v>
      </c>
      <c r="AA16" s="48"/>
      <c r="AB16" s="48"/>
      <c r="AC16" s="48"/>
      <c r="AD16" s="48"/>
    </row>
    <row r="17" spans="2:30" x14ac:dyDescent="0.25">
      <c r="B17" s="4"/>
      <c r="C17" s="4"/>
      <c r="D17" s="185"/>
      <c r="E17" s="186"/>
      <c r="F17" s="4"/>
      <c r="G17" s="4"/>
      <c r="H17" s="187" t="s">
        <v>264</v>
      </c>
      <c r="I17" s="188"/>
      <c r="J17" s="4"/>
      <c r="K17" s="37"/>
      <c r="L17" s="25"/>
      <c r="M17" s="25"/>
      <c r="O17" s="44" t="s">
        <v>32</v>
      </c>
      <c r="P17" s="45" t="s">
        <v>327</v>
      </c>
      <c r="Q17" s="48"/>
      <c r="R17" s="48"/>
      <c r="S17" s="46">
        <v>3</v>
      </c>
      <c r="T17" s="47" t="s">
        <v>13</v>
      </c>
      <c r="U17" s="48"/>
      <c r="V17" s="46">
        <v>3</v>
      </c>
      <c r="W17" s="47" t="s">
        <v>27</v>
      </c>
      <c r="X17" s="46">
        <v>2</v>
      </c>
      <c r="Y17" s="48"/>
      <c r="Z17" s="47" t="s">
        <v>30</v>
      </c>
      <c r="AA17" s="48"/>
      <c r="AB17" s="48"/>
      <c r="AC17" s="48"/>
      <c r="AD17" s="48"/>
    </row>
    <row r="18" spans="2:30" x14ac:dyDescent="0.25">
      <c r="B18" s="187" t="s">
        <v>239</v>
      </c>
      <c r="C18" s="188"/>
      <c r="D18" s="38"/>
      <c r="E18" s="1"/>
      <c r="F18" s="4"/>
      <c r="G18" s="4"/>
      <c r="H18" s="189"/>
      <c r="I18" s="190"/>
      <c r="J18" s="4"/>
      <c r="K18" s="4"/>
      <c r="L18" s="25"/>
      <c r="M18" s="25"/>
      <c r="O18" s="44" t="s">
        <v>46</v>
      </c>
      <c r="P18" s="45" t="s">
        <v>333</v>
      </c>
      <c r="Q18" s="46">
        <v>2</v>
      </c>
      <c r="R18" s="47" t="s">
        <v>10</v>
      </c>
      <c r="S18" s="48"/>
      <c r="T18" s="48"/>
      <c r="U18" s="48"/>
      <c r="V18" s="46">
        <v>2</v>
      </c>
      <c r="W18" s="48"/>
      <c r="X18" s="46">
        <v>2</v>
      </c>
      <c r="Y18" s="48"/>
      <c r="Z18" s="47" t="s">
        <v>11</v>
      </c>
      <c r="AA18" s="48"/>
      <c r="AB18" s="48"/>
      <c r="AC18" s="48"/>
      <c r="AD18" s="48"/>
    </row>
    <row r="19" spans="2:30" x14ac:dyDescent="0.25">
      <c r="B19" s="128" t="s">
        <v>238</v>
      </c>
      <c r="C19" s="129"/>
      <c r="D19" s="128" t="s">
        <v>242</v>
      </c>
      <c r="E19" s="129"/>
      <c r="F19" s="1"/>
      <c r="G19" s="1"/>
      <c r="H19" s="191"/>
      <c r="I19" s="192"/>
      <c r="J19" s="25"/>
      <c r="K19" s="25"/>
      <c r="L19" s="4"/>
      <c r="M19" s="4"/>
      <c r="O19" s="44" t="s">
        <v>47</v>
      </c>
      <c r="P19" s="45" t="s">
        <v>333</v>
      </c>
      <c r="Q19" s="48"/>
      <c r="R19" s="48"/>
      <c r="S19" s="46">
        <v>2</v>
      </c>
      <c r="T19" s="47" t="s">
        <v>13</v>
      </c>
      <c r="U19" s="48"/>
      <c r="V19" s="46">
        <v>2</v>
      </c>
      <c r="W19" s="47" t="s">
        <v>27</v>
      </c>
      <c r="X19" s="46">
        <v>2</v>
      </c>
      <c r="Y19" s="48"/>
      <c r="Z19" s="47" t="s">
        <v>14</v>
      </c>
      <c r="AA19" s="48"/>
      <c r="AB19" s="48"/>
      <c r="AC19" s="48"/>
      <c r="AD19" s="48"/>
    </row>
    <row r="20" spans="2:30" x14ac:dyDescent="0.25">
      <c r="B20" s="149"/>
      <c r="C20" s="150"/>
      <c r="D20" s="149"/>
      <c r="E20" s="150"/>
      <c r="F20" s="153" t="s">
        <v>534</v>
      </c>
      <c r="G20" s="153" t="s">
        <v>247</v>
      </c>
      <c r="H20" s="4"/>
      <c r="I20" s="4"/>
      <c r="J20" s="25"/>
      <c r="K20" s="25"/>
      <c r="L20" s="4"/>
      <c r="M20" s="4"/>
      <c r="O20" s="44" t="s">
        <v>43</v>
      </c>
      <c r="P20" s="45" t="s">
        <v>82</v>
      </c>
      <c r="Q20" s="46">
        <v>2</v>
      </c>
      <c r="R20" s="47" t="s">
        <v>25</v>
      </c>
      <c r="S20" s="46">
        <v>4</v>
      </c>
      <c r="T20" s="48"/>
      <c r="U20" s="46">
        <v>1</v>
      </c>
      <c r="V20" s="46">
        <v>7</v>
      </c>
      <c r="W20" s="47" t="s">
        <v>49</v>
      </c>
      <c r="X20" s="46">
        <v>2</v>
      </c>
      <c r="Y20" s="48"/>
      <c r="Z20" s="47" t="s">
        <v>52</v>
      </c>
      <c r="AA20" s="48"/>
      <c r="AB20" s="48"/>
      <c r="AC20" s="48"/>
      <c r="AD20" s="48"/>
    </row>
    <row r="21" spans="2:30" x14ac:dyDescent="0.25">
      <c r="B21" s="149"/>
      <c r="C21" s="150"/>
      <c r="D21" s="149"/>
      <c r="E21" s="150"/>
      <c r="F21" s="154"/>
      <c r="G21" s="154"/>
      <c r="H21" s="13" t="s">
        <v>269</v>
      </c>
      <c r="I21" s="13" t="s">
        <v>270</v>
      </c>
      <c r="J21" s="4"/>
      <c r="K21" s="4"/>
      <c r="L21" s="126" t="s">
        <v>257</v>
      </c>
      <c r="M21" s="127"/>
      <c r="O21" s="44" t="s">
        <v>200</v>
      </c>
      <c r="P21" s="45" t="s">
        <v>337</v>
      </c>
      <c r="Q21" s="46">
        <v>2</v>
      </c>
      <c r="R21" s="47" t="s">
        <v>25</v>
      </c>
      <c r="S21" s="46">
        <v>2</v>
      </c>
      <c r="T21" s="48"/>
      <c r="U21" s="46">
        <v>1</v>
      </c>
      <c r="V21" s="46">
        <v>5</v>
      </c>
      <c r="W21" s="47" t="s">
        <v>201</v>
      </c>
      <c r="X21" s="46">
        <v>2</v>
      </c>
      <c r="Y21" s="48"/>
      <c r="Z21" s="47" t="s">
        <v>50</v>
      </c>
      <c r="AA21" s="48"/>
      <c r="AB21" s="48"/>
      <c r="AC21" s="48"/>
      <c r="AD21" s="48"/>
    </row>
    <row r="22" spans="2:30" x14ac:dyDescent="0.25">
      <c r="B22" s="149"/>
      <c r="C22" s="150"/>
      <c r="D22" s="149"/>
      <c r="E22" s="150"/>
      <c r="F22" s="155"/>
      <c r="G22" s="155"/>
      <c r="H22" s="14" t="s">
        <v>253</v>
      </c>
      <c r="I22" s="14" t="s">
        <v>254</v>
      </c>
      <c r="J22" s="14" t="s">
        <v>261</v>
      </c>
      <c r="K22" s="14" t="s">
        <v>522</v>
      </c>
      <c r="L22" s="4"/>
      <c r="M22" s="4"/>
      <c r="O22" s="39" t="s">
        <v>41</v>
      </c>
      <c r="P22" s="40" t="s">
        <v>322</v>
      </c>
      <c r="Q22" s="41">
        <v>2</v>
      </c>
      <c r="R22" s="42" t="s">
        <v>10</v>
      </c>
      <c r="S22" s="43"/>
      <c r="T22" s="43"/>
      <c r="U22" s="43"/>
      <c r="V22" s="41">
        <v>2</v>
      </c>
      <c r="W22" s="43"/>
      <c r="X22" s="41">
        <v>3</v>
      </c>
      <c r="Y22" s="43"/>
      <c r="Z22" s="43"/>
      <c r="AA22" s="42" t="s">
        <v>11</v>
      </c>
      <c r="AB22" s="43"/>
      <c r="AC22" s="43"/>
      <c r="AD22" s="43"/>
    </row>
    <row r="23" spans="2:30" x14ac:dyDescent="0.25">
      <c r="B23" s="149"/>
      <c r="C23" s="150"/>
      <c r="D23" s="149"/>
      <c r="E23" s="150"/>
      <c r="F23" s="128" t="s">
        <v>503</v>
      </c>
      <c r="G23" s="129"/>
      <c r="H23" s="18"/>
      <c r="I23" s="1"/>
      <c r="J23" s="1"/>
      <c r="K23" s="1"/>
      <c r="L23" s="1"/>
      <c r="M23" s="1"/>
      <c r="O23" s="39" t="s">
        <v>42</v>
      </c>
      <c r="P23" s="40" t="s">
        <v>322</v>
      </c>
      <c r="Q23" s="43"/>
      <c r="R23" s="43"/>
      <c r="S23" s="41">
        <v>2</v>
      </c>
      <c r="T23" s="42" t="s">
        <v>13</v>
      </c>
      <c r="U23" s="43"/>
      <c r="V23" s="41">
        <v>2</v>
      </c>
      <c r="W23" s="42" t="s">
        <v>43</v>
      </c>
      <c r="X23" s="41">
        <v>3</v>
      </c>
      <c r="Y23" s="43"/>
      <c r="Z23" s="43"/>
      <c r="AA23" s="42" t="s">
        <v>14</v>
      </c>
      <c r="AB23" s="43"/>
      <c r="AC23" s="43"/>
      <c r="AD23" s="43"/>
    </row>
    <row r="24" spans="2:30" x14ac:dyDescent="0.25">
      <c r="B24" s="149"/>
      <c r="C24" s="150"/>
      <c r="D24" s="149"/>
      <c r="E24" s="150"/>
      <c r="F24" s="145" t="s">
        <v>504</v>
      </c>
      <c r="G24" s="146"/>
      <c r="H24" s="18"/>
      <c r="I24" s="1"/>
      <c r="J24" s="1"/>
      <c r="K24" s="1"/>
      <c r="L24" s="1"/>
      <c r="M24" s="1"/>
      <c r="O24" s="39" t="s">
        <v>15</v>
      </c>
      <c r="P24" s="40" t="s">
        <v>320</v>
      </c>
      <c r="Q24" s="41">
        <v>2</v>
      </c>
      <c r="R24" s="42" t="s">
        <v>10</v>
      </c>
      <c r="S24" s="43"/>
      <c r="T24" s="43"/>
      <c r="U24" s="41">
        <v>1</v>
      </c>
      <c r="V24" s="41">
        <v>3</v>
      </c>
      <c r="W24" s="43"/>
      <c r="X24" s="41">
        <v>3</v>
      </c>
      <c r="Y24" s="43"/>
      <c r="Z24" s="43"/>
      <c r="AA24" s="42" t="s">
        <v>11</v>
      </c>
      <c r="AB24" s="43"/>
      <c r="AC24" s="43"/>
      <c r="AD24" s="43"/>
    </row>
    <row r="25" spans="2:30" x14ac:dyDescent="0.25">
      <c r="B25" s="151"/>
      <c r="C25" s="152"/>
      <c r="D25" s="151"/>
      <c r="E25" s="152"/>
      <c r="F25" s="147" t="s">
        <v>517</v>
      </c>
      <c r="G25" s="148"/>
      <c r="H25" s="4"/>
      <c r="I25" s="4"/>
      <c r="J25" s="4"/>
      <c r="K25" s="4"/>
      <c r="L25" s="130" t="s">
        <v>530</v>
      </c>
      <c r="M25" s="131"/>
      <c r="O25" s="39" t="s">
        <v>16</v>
      </c>
      <c r="P25" s="40" t="s">
        <v>320</v>
      </c>
      <c r="Q25" s="43"/>
      <c r="R25" s="43"/>
      <c r="S25" s="41">
        <v>2</v>
      </c>
      <c r="T25" s="42" t="s">
        <v>13</v>
      </c>
      <c r="U25" s="43"/>
      <c r="V25" s="41">
        <v>2</v>
      </c>
      <c r="W25" s="42" t="s">
        <v>9</v>
      </c>
      <c r="X25" s="41">
        <v>3</v>
      </c>
      <c r="Y25" s="43"/>
      <c r="Z25" s="43"/>
      <c r="AA25" s="42" t="s">
        <v>14</v>
      </c>
      <c r="AB25" s="43"/>
      <c r="AC25" s="43"/>
      <c r="AD25" s="43"/>
    </row>
    <row r="26" spans="2:30" x14ac:dyDescent="0.25">
      <c r="B26" s="132" t="s">
        <v>240</v>
      </c>
      <c r="C26" s="133"/>
      <c r="D26" s="4"/>
      <c r="E26" s="4"/>
      <c r="F26" s="4"/>
      <c r="G26" s="4"/>
      <c r="H26" s="4"/>
      <c r="I26" s="4"/>
      <c r="J26" s="4"/>
      <c r="K26" s="4"/>
      <c r="L26" s="4"/>
      <c r="M26" s="4"/>
      <c r="O26" s="39" t="s">
        <v>40</v>
      </c>
      <c r="P26" s="40" t="s">
        <v>331</v>
      </c>
      <c r="Q26" s="41">
        <v>2</v>
      </c>
      <c r="R26" s="42" t="s">
        <v>10</v>
      </c>
      <c r="S26" s="43"/>
      <c r="T26" s="43"/>
      <c r="U26" s="43"/>
      <c r="V26" s="41">
        <v>2</v>
      </c>
      <c r="W26" s="43"/>
      <c r="X26" s="41">
        <v>3</v>
      </c>
      <c r="Y26" s="43"/>
      <c r="Z26" s="43"/>
      <c r="AA26" s="42" t="s">
        <v>11</v>
      </c>
      <c r="AB26" s="43"/>
      <c r="AC26" s="43"/>
      <c r="AD26" s="43"/>
    </row>
    <row r="27" spans="2:30" x14ac:dyDescent="0.25">
      <c r="B27" s="140" t="s">
        <v>241</v>
      </c>
      <c r="C27" s="141"/>
      <c r="D27" s="4"/>
      <c r="E27" s="4"/>
      <c r="F27" s="25"/>
      <c r="G27" s="25"/>
      <c r="H27" s="25"/>
      <c r="I27" s="25"/>
      <c r="J27" s="25"/>
      <c r="K27" s="23"/>
      <c r="L27" s="23"/>
      <c r="M27" s="23"/>
      <c r="O27" s="39" t="s">
        <v>202</v>
      </c>
      <c r="P27" s="40" t="s">
        <v>331</v>
      </c>
      <c r="Q27" s="43"/>
      <c r="R27" s="43"/>
      <c r="S27" s="41">
        <v>2</v>
      </c>
      <c r="T27" s="42" t="s">
        <v>13</v>
      </c>
      <c r="U27" s="43"/>
      <c r="V27" s="41">
        <v>2</v>
      </c>
      <c r="W27" s="42" t="s">
        <v>80</v>
      </c>
      <c r="X27" s="41">
        <v>3</v>
      </c>
      <c r="Y27" s="43"/>
      <c r="Z27" s="43"/>
      <c r="AA27" s="42" t="s">
        <v>14</v>
      </c>
      <c r="AB27" s="43"/>
      <c r="AC27" s="43"/>
      <c r="AD27" s="43"/>
    </row>
    <row r="28" spans="2:30" x14ac:dyDescent="0.25">
      <c r="B28" s="197" t="s">
        <v>547</v>
      </c>
      <c r="C28" s="198"/>
      <c r="D28" s="25"/>
      <c r="E28" s="25"/>
      <c r="F28" s="25"/>
      <c r="G28" s="25"/>
      <c r="H28" s="24"/>
      <c r="I28" s="25"/>
      <c r="J28" s="35"/>
      <c r="K28" s="25"/>
      <c r="L28" s="25"/>
      <c r="M28" s="25"/>
      <c r="O28" s="39" t="s">
        <v>21</v>
      </c>
      <c r="P28" s="40" t="s">
        <v>323</v>
      </c>
      <c r="Q28" s="41">
        <v>2</v>
      </c>
      <c r="R28" s="42" t="s">
        <v>10</v>
      </c>
      <c r="S28" s="43"/>
      <c r="T28" s="43"/>
      <c r="U28" s="41">
        <v>1</v>
      </c>
      <c r="V28" s="41">
        <v>3</v>
      </c>
      <c r="W28" s="43"/>
      <c r="X28" s="41">
        <v>3</v>
      </c>
      <c r="Y28" s="43"/>
      <c r="Z28" s="43"/>
      <c r="AA28" s="42" t="s">
        <v>11</v>
      </c>
      <c r="AB28" s="43"/>
      <c r="AC28" s="43"/>
      <c r="AD28" s="43"/>
    </row>
    <row r="29" spans="2:30" x14ac:dyDescent="0.25">
      <c r="O29" s="39" t="s">
        <v>203</v>
      </c>
      <c r="P29" s="40" t="s">
        <v>323</v>
      </c>
      <c r="Q29" s="43"/>
      <c r="R29" s="43"/>
      <c r="S29" s="41">
        <v>2</v>
      </c>
      <c r="T29" s="42" t="s">
        <v>13</v>
      </c>
      <c r="U29" s="43"/>
      <c r="V29" s="41">
        <v>2</v>
      </c>
      <c r="W29" s="42" t="s">
        <v>79</v>
      </c>
      <c r="X29" s="41">
        <v>3</v>
      </c>
      <c r="Y29" s="43"/>
      <c r="Z29" s="43"/>
      <c r="AA29" s="42" t="s">
        <v>14</v>
      </c>
      <c r="AB29" s="43"/>
      <c r="AC29" s="43"/>
      <c r="AD29" s="43"/>
    </row>
    <row r="30" spans="2:30" x14ac:dyDescent="0.25">
      <c r="B30" s="142">
        <f>SUM(V3:V13)</f>
        <v>27</v>
      </c>
      <c r="C30" s="143"/>
      <c r="D30" s="144">
        <f>SUM(V14:V21)</f>
        <v>27</v>
      </c>
      <c r="E30" s="120"/>
      <c r="F30" s="144">
        <f>SUM(V22:V32)+1</f>
        <v>30</v>
      </c>
      <c r="G30" s="120"/>
      <c r="H30" s="144">
        <f>SUM(V33:V45)</f>
        <v>33</v>
      </c>
      <c r="I30" s="120"/>
      <c r="J30" s="144">
        <f>SUM(V46:V56)</f>
        <v>26</v>
      </c>
      <c r="K30" s="120"/>
      <c r="L30" s="144">
        <f>SUM(V57:V59)</f>
        <v>9</v>
      </c>
      <c r="M30" s="144"/>
      <c r="O30" s="39" t="s">
        <v>57</v>
      </c>
      <c r="P30" s="40" t="s">
        <v>485</v>
      </c>
      <c r="Q30" s="41">
        <v>1</v>
      </c>
      <c r="R30" s="43"/>
      <c r="S30" s="41">
        <v>1</v>
      </c>
      <c r="T30" s="42" t="s">
        <v>13</v>
      </c>
      <c r="U30" s="43"/>
      <c r="V30" s="41">
        <v>2</v>
      </c>
      <c r="W30" s="42" t="s">
        <v>43</v>
      </c>
      <c r="X30" s="41">
        <v>3</v>
      </c>
      <c r="Y30" s="43"/>
      <c r="Z30" s="43"/>
      <c r="AA30" s="42" t="s">
        <v>58</v>
      </c>
      <c r="AB30" s="43"/>
      <c r="AC30" s="43"/>
      <c r="AD30" s="43"/>
    </row>
    <row r="31" spans="2:30" x14ac:dyDescent="0.25">
      <c r="O31" s="39" t="s">
        <v>53</v>
      </c>
      <c r="P31" s="40" t="s">
        <v>489</v>
      </c>
      <c r="Q31" s="41">
        <v>2</v>
      </c>
      <c r="R31" s="42" t="s">
        <v>25</v>
      </c>
      <c r="S31" s="41">
        <v>2</v>
      </c>
      <c r="T31" s="43"/>
      <c r="U31" s="41">
        <v>1</v>
      </c>
      <c r="V31" s="41">
        <v>5</v>
      </c>
      <c r="W31" s="42" t="s">
        <v>43</v>
      </c>
      <c r="X31" s="41">
        <v>3</v>
      </c>
      <c r="Y31" s="43"/>
      <c r="Z31" s="43"/>
      <c r="AA31" s="42" t="s">
        <v>50</v>
      </c>
      <c r="AB31" s="43"/>
      <c r="AC31" s="43"/>
      <c r="AD31" s="43"/>
    </row>
    <row r="32" spans="2:30" x14ac:dyDescent="0.25">
      <c r="B32" s="172" t="s">
        <v>456</v>
      </c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O32" s="39" t="s">
        <v>54</v>
      </c>
      <c r="P32" s="40" t="s">
        <v>487</v>
      </c>
      <c r="Q32" s="41">
        <v>2</v>
      </c>
      <c r="R32" s="42" t="s">
        <v>25</v>
      </c>
      <c r="S32" s="41">
        <v>1</v>
      </c>
      <c r="T32" s="43"/>
      <c r="U32" s="41">
        <v>1</v>
      </c>
      <c r="V32" s="41">
        <v>4</v>
      </c>
      <c r="W32" s="42" t="s">
        <v>43</v>
      </c>
      <c r="X32" s="41">
        <v>3</v>
      </c>
      <c r="Y32" s="43"/>
      <c r="Z32" s="43"/>
      <c r="AA32" s="42" t="s">
        <v>55</v>
      </c>
      <c r="AB32" s="43"/>
      <c r="AC32" s="43"/>
      <c r="AD32" s="43"/>
    </row>
    <row r="33" spans="2:30" x14ac:dyDescent="0.25">
      <c r="B33" s="172" t="s">
        <v>459</v>
      </c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O33" s="44" t="s">
        <v>61</v>
      </c>
      <c r="P33" s="45" t="s">
        <v>344</v>
      </c>
      <c r="Q33" s="46">
        <v>2</v>
      </c>
      <c r="R33" s="47" t="s">
        <v>10</v>
      </c>
      <c r="S33" s="48"/>
      <c r="T33" s="48"/>
      <c r="U33" s="46">
        <v>1</v>
      </c>
      <c r="V33" s="46">
        <v>3</v>
      </c>
      <c r="W33" s="48"/>
      <c r="X33" s="46">
        <v>4</v>
      </c>
      <c r="Y33" s="48"/>
      <c r="Z33" s="48"/>
      <c r="AA33" s="48"/>
      <c r="AB33" s="47" t="s">
        <v>11</v>
      </c>
      <c r="AC33" s="48"/>
      <c r="AD33" s="48"/>
    </row>
    <row r="34" spans="2:30" x14ac:dyDescent="0.25">
      <c r="B34" s="172" t="s">
        <v>460</v>
      </c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O34" s="44" t="s">
        <v>62</v>
      </c>
      <c r="P34" s="45" t="s">
        <v>344</v>
      </c>
      <c r="Q34" s="48"/>
      <c r="R34" s="48"/>
      <c r="S34" s="46">
        <v>2</v>
      </c>
      <c r="T34" s="47" t="s">
        <v>13</v>
      </c>
      <c r="U34" s="48"/>
      <c r="V34" s="46">
        <v>2</v>
      </c>
      <c r="W34" s="47" t="s">
        <v>41</v>
      </c>
      <c r="X34" s="46">
        <v>4</v>
      </c>
      <c r="Y34" s="48"/>
      <c r="Z34" s="48"/>
      <c r="AA34" s="48"/>
      <c r="AB34" s="47" t="s">
        <v>14</v>
      </c>
      <c r="AC34" s="48"/>
      <c r="AD34" s="48"/>
    </row>
    <row r="35" spans="2:30" x14ac:dyDescent="0.25">
      <c r="B35" s="172" t="s">
        <v>465</v>
      </c>
      <c r="C35" s="172"/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O35" s="44" t="s">
        <v>44</v>
      </c>
      <c r="P35" s="45" t="s">
        <v>332</v>
      </c>
      <c r="Q35" s="46">
        <v>2</v>
      </c>
      <c r="R35" s="47" t="s">
        <v>10</v>
      </c>
      <c r="S35" s="48"/>
      <c r="T35" s="48"/>
      <c r="U35" s="46">
        <v>1</v>
      </c>
      <c r="V35" s="46">
        <v>3</v>
      </c>
      <c r="W35" s="48"/>
      <c r="X35" s="46">
        <v>4</v>
      </c>
      <c r="Y35" s="48"/>
      <c r="Z35" s="48"/>
      <c r="AA35" s="48"/>
      <c r="AB35" s="47" t="s">
        <v>11</v>
      </c>
      <c r="AC35" s="48"/>
      <c r="AD35" s="48"/>
    </row>
    <row r="36" spans="2:30" x14ac:dyDescent="0.25">
      <c r="B36" s="172" t="s">
        <v>457</v>
      </c>
      <c r="C36" s="172"/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O36" s="44" t="s">
        <v>45</v>
      </c>
      <c r="P36" s="45" t="s">
        <v>332</v>
      </c>
      <c r="Q36" s="48"/>
      <c r="R36" s="48"/>
      <c r="S36" s="46">
        <v>2</v>
      </c>
      <c r="T36" s="47" t="s">
        <v>13</v>
      </c>
      <c r="U36" s="48"/>
      <c r="V36" s="46">
        <v>2</v>
      </c>
      <c r="W36" s="47" t="s">
        <v>41</v>
      </c>
      <c r="X36" s="46">
        <v>4</v>
      </c>
      <c r="Y36" s="48"/>
      <c r="Z36" s="48"/>
      <c r="AA36" s="48"/>
      <c r="AB36" s="47" t="s">
        <v>14</v>
      </c>
      <c r="AC36" s="48"/>
      <c r="AD36" s="48"/>
    </row>
    <row r="37" spans="2:30" x14ac:dyDescent="0.25">
      <c r="B37" s="172" t="s">
        <v>458</v>
      </c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O37" s="44" t="s">
        <v>17</v>
      </c>
      <c r="P37" s="45" t="s">
        <v>321</v>
      </c>
      <c r="Q37" s="46">
        <v>2</v>
      </c>
      <c r="R37" s="47" t="s">
        <v>10</v>
      </c>
      <c r="S37" s="48"/>
      <c r="T37" s="48"/>
      <c r="U37" s="46">
        <v>1</v>
      </c>
      <c r="V37" s="46">
        <v>3</v>
      </c>
      <c r="W37" s="48"/>
      <c r="X37" s="46">
        <v>4</v>
      </c>
      <c r="Y37" s="48"/>
      <c r="Z37" s="48"/>
      <c r="AA37" s="48"/>
      <c r="AB37" s="47" t="s">
        <v>11</v>
      </c>
      <c r="AC37" s="48"/>
      <c r="AD37" s="48"/>
    </row>
    <row r="38" spans="2:30" x14ac:dyDescent="0.25">
      <c r="B38" s="172" t="s">
        <v>461</v>
      </c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O38" s="44" t="s">
        <v>18</v>
      </c>
      <c r="P38" s="45" t="s">
        <v>321</v>
      </c>
      <c r="Q38" s="48"/>
      <c r="R38" s="48"/>
      <c r="S38" s="46">
        <v>2</v>
      </c>
      <c r="T38" s="47" t="s">
        <v>13</v>
      </c>
      <c r="U38" s="48"/>
      <c r="V38" s="46">
        <v>2</v>
      </c>
      <c r="W38" s="47" t="s">
        <v>15</v>
      </c>
      <c r="X38" s="46">
        <v>4</v>
      </c>
      <c r="Y38" s="48"/>
      <c r="Z38" s="48"/>
      <c r="AA38" s="48"/>
      <c r="AB38" s="47" t="s">
        <v>14</v>
      </c>
      <c r="AC38" s="48"/>
      <c r="AD38" s="48"/>
    </row>
    <row r="39" spans="2:30" x14ac:dyDescent="0.25">
      <c r="B39" s="172" t="s">
        <v>463</v>
      </c>
      <c r="C39" s="172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O39" s="44" t="s">
        <v>39</v>
      </c>
      <c r="P39" s="45" t="s">
        <v>496</v>
      </c>
      <c r="Q39" s="46">
        <v>2</v>
      </c>
      <c r="R39" s="47" t="s">
        <v>10</v>
      </c>
      <c r="S39" s="48"/>
      <c r="T39" s="48"/>
      <c r="U39" s="48"/>
      <c r="V39" s="46">
        <v>2</v>
      </c>
      <c r="W39" s="48"/>
      <c r="X39" s="46">
        <v>4</v>
      </c>
      <c r="Y39" s="48"/>
      <c r="Z39" s="48"/>
      <c r="AA39" s="48"/>
      <c r="AB39" s="47" t="s">
        <v>11</v>
      </c>
      <c r="AC39" s="48"/>
      <c r="AD39" s="48"/>
    </row>
    <row r="40" spans="2:30" x14ac:dyDescent="0.25">
      <c r="B40" s="193" t="s">
        <v>464</v>
      </c>
      <c r="C40" s="193"/>
      <c r="D40" s="193"/>
      <c r="E40" s="193"/>
      <c r="F40" s="193"/>
      <c r="G40" s="193"/>
      <c r="H40" s="193"/>
      <c r="I40" s="193"/>
      <c r="J40" s="193"/>
      <c r="K40" s="193"/>
      <c r="L40" s="193"/>
      <c r="M40" s="193"/>
      <c r="O40" s="44" t="s">
        <v>204</v>
      </c>
      <c r="P40" s="50" t="s">
        <v>543</v>
      </c>
      <c r="Q40" s="48"/>
      <c r="R40" s="48"/>
      <c r="S40" s="46">
        <v>2</v>
      </c>
      <c r="T40" s="47" t="s">
        <v>13</v>
      </c>
      <c r="U40" s="48"/>
      <c r="V40" s="46">
        <v>2</v>
      </c>
      <c r="W40" s="47" t="s">
        <v>77</v>
      </c>
      <c r="X40" s="46">
        <v>4</v>
      </c>
      <c r="Y40" s="48"/>
      <c r="Z40" s="48"/>
      <c r="AA40" s="48"/>
      <c r="AB40" s="47" t="s">
        <v>14</v>
      </c>
      <c r="AC40" s="48"/>
      <c r="AD40" s="48"/>
    </row>
    <row r="41" spans="2:30" x14ac:dyDescent="0.25">
      <c r="B41" s="193"/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O41" s="44" t="s">
        <v>22</v>
      </c>
      <c r="P41" s="45" t="s">
        <v>324</v>
      </c>
      <c r="Q41" s="46">
        <v>2</v>
      </c>
      <c r="R41" s="47" t="s">
        <v>10</v>
      </c>
      <c r="S41" s="48"/>
      <c r="T41" s="48"/>
      <c r="U41" s="46">
        <v>1</v>
      </c>
      <c r="V41" s="46">
        <v>3</v>
      </c>
      <c r="W41" s="48"/>
      <c r="X41" s="46">
        <v>4</v>
      </c>
      <c r="Y41" s="48"/>
      <c r="Z41" s="48"/>
      <c r="AA41" s="48"/>
      <c r="AB41" s="47" t="s">
        <v>11</v>
      </c>
      <c r="AC41" s="48"/>
      <c r="AD41" s="48"/>
    </row>
    <row r="42" spans="2:30" x14ac:dyDescent="0.25">
      <c r="B42" s="172" t="s">
        <v>462</v>
      </c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O42" s="44" t="s">
        <v>23</v>
      </c>
      <c r="P42" s="45" t="s">
        <v>324</v>
      </c>
      <c r="Q42" s="48"/>
      <c r="R42" s="48"/>
      <c r="S42" s="46">
        <v>2</v>
      </c>
      <c r="T42" s="47" t="s">
        <v>13</v>
      </c>
      <c r="U42" s="48"/>
      <c r="V42" s="46">
        <v>2</v>
      </c>
      <c r="W42" s="47" t="s">
        <v>21</v>
      </c>
      <c r="X42" s="46">
        <v>4</v>
      </c>
      <c r="Y42" s="48"/>
      <c r="Z42" s="48"/>
      <c r="AA42" s="48"/>
      <c r="AB42" s="47" t="s">
        <v>14</v>
      </c>
      <c r="AC42" s="48"/>
      <c r="AD42" s="48"/>
    </row>
    <row r="43" spans="2:30" x14ac:dyDescent="0.25">
      <c r="B43" s="172" t="s">
        <v>535</v>
      </c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O43" s="44" t="s">
        <v>205</v>
      </c>
      <c r="P43" s="45" t="s">
        <v>341</v>
      </c>
      <c r="Q43" s="46">
        <v>2</v>
      </c>
      <c r="R43" s="47" t="s">
        <v>25</v>
      </c>
      <c r="S43" s="46">
        <v>1</v>
      </c>
      <c r="T43" s="48"/>
      <c r="U43" s="46">
        <v>1</v>
      </c>
      <c r="V43" s="46">
        <v>4</v>
      </c>
      <c r="W43" s="47" t="s">
        <v>78</v>
      </c>
      <c r="X43" s="46">
        <v>4</v>
      </c>
      <c r="Y43" s="48"/>
      <c r="Z43" s="48"/>
      <c r="AA43" s="48"/>
      <c r="AB43" s="47" t="s">
        <v>55</v>
      </c>
      <c r="AC43" s="48"/>
      <c r="AD43" s="48"/>
    </row>
    <row r="44" spans="2:30" x14ac:dyDescent="0.25">
      <c r="B44" s="193" t="s">
        <v>556</v>
      </c>
      <c r="C44" s="193"/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O44" s="44" t="s">
        <v>207</v>
      </c>
      <c r="P44" s="45" t="s">
        <v>346</v>
      </c>
      <c r="Q44" s="46">
        <v>2</v>
      </c>
      <c r="R44" s="47" t="s">
        <v>10</v>
      </c>
      <c r="S44" s="48"/>
      <c r="T44" s="48"/>
      <c r="U44" s="46">
        <v>1</v>
      </c>
      <c r="V44" s="46">
        <v>3</v>
      </c>
      <c r="W44" s="47" t="s">
        <v>494</v>
      </c>
      <c r="X44" s="46">
        <v>4</v>
      </c>
      <c r="Y44" s="48"/>
      <c r="Z44" s="48"/>
      <c r="AA44" s="48"/>
      <c r="AB44" s="47" t="s">
        <v>11</v>
      </c>
      <c r="AC44" s="48"/>
      <c r="AD44" s="48"/>
    </row>
    <row r="45" spans="2:30" x14ac:dyDescent="0.25">
      <c r="O45" s="44" t="s">
        <v>206</v>
      </c>
      <c r="P45" s="45" t="s">
        <v>346</v>
      </c>
      <c r="Q45" s="48"/>
      <c r="R45" s="48"/>
      <c r="S45" s="46">
        <v>2</v>
      </c>
      <c r="T45" s="47" t="s">
        <v>13</v>
      </c>
      <c r="U45" s="48"/>
      <c r="V45" s="46">
        <v>2</v>
      </c>
      <c r="W45" s="47" t="s">
        <v>495</v>
      </c>
      <c r="X45" s="46">
        <v>4</v>
      </c>
      <c r="Y45" s="48"/>
      <c r="Z45" s="48"/>
      <c r="AA45" s="48"/>
      <c r="AB45" s="47" t="s">
        <v>14</v>
      </c>
      <c r="AC45" s="48"/>
      <c r="AD45" s="48"/>
    </row>
    <row r="46" spans="2:30" x14ac:dyDescent="0.25">
      <c r="O46" s="39" t="s">
        <v>63</v>
      </c>
      <c r="P46" s="40" t="s">
        <v>345</v>
      </c>
      <c r="Q46" s="41">
        <v>2</v>
      </c>
      <c r="R46" s="42" t="s">
        <v>10</v>
      </c>
      <c r="S46" s="43"/>
      <c r="T46" s="43"/>
      <c r="U46" s="43"/>
      <c r="V46" s="41">
        <v>2</v>
      </c>
      <c r="W46" s="43"/>
      <c r="X46" s="41">
        <v>5</v>
      </c>
      <c r="Y46" s="43"/>
      <c r="Z46" s="43"/>
      <c r="AA46" s="43"/>
      <c r="AB46" s="43"/>
      <c r="AC46" s="42" t="s">
        <v>11</v>
      </c>
      <c r="AD46" s="43"/>
    </row>
    <row r="47" spans="2:30" x14ac:dyDescent="0.25">
      <c r="O47" s="39" t="s">
        <v>64</v>
      </c>
      <c r="P47" s="40" t="s">
        <v>345</v>
      </c>
      <c r="Q47" s="43"/>
      <c r="R47" s="43"/>
      <c r="S47" s="41">
        <v>2</v>
      </c>
      <c r="T47" s="42" t="s">
        <v>13</v>
      </c>
      <c r="U47" s="43"/>
      <c r="V47" s="41">
        <v>2</v>
      </c>
      <c r="W47" s="42" t="s">
        <v>61</v>
      </c>
      <c r="X47" s="41">
        <v>5</v>
      </c>
      <c r="Y47" s="43"/>
      <c r="Z47" s="43"/>
      <c r="AA47" s="43"/>
      <c r="AB47" s="43"/>
      <c r="AC47" s="42" t="s">
        <v>14</v>
      </c>
      <c r="AD47" s="43"/>
    </row>
    <row r="48" spans="2:30" x14ac:dyDescent="0.25">
      <c r="O48" s="39" t="s">
        <v>19</v>
      </c>
      <c r="P48" s="40" t="s">
        <v>497</v>
      </c>
      <c r="Q48" s="41">
        <v>2</v>
      </c>
      <c r="R48" s="42" t="s">
        <v>10</v>
      </c>
      <c r="S48" s="43"/>
      <c r="T48" s="43"/>
      <c r="U48" s="43"/>
      <c r="V48" s="41">
        <v>2</v>
      </c>
      <c r="W48" s="43"/>
      <c r="X48" s="41">
        <v>5</v>
      </c>
      <c r="Y48" s="43"/>
      <c r="Z48" s="43"/>
      <c r="AA48" s="43"/>
      <c r="AB48" s="43"/>
      <c r="AC48" s="42" t="s">
        <v>11</v>
      </c>
      <c r="AD48" s="43"/>
    </row>
    <row r="49" spans="15:30" x14ac:dyDescent="0.25">
      <c r="O49" s="39" t="s">
        <v>20</v>
      </c>
      <c r="P49" s="40" t="s">
        <v>497</v>
      </c>
      <c r="Q49" s="43"/>
      <c r="R49" s="43"/>
      <c r="S49" s="41">
        <v>2</v>
      </c>
      <c r="T49" s="42" t="s">
        <v>13</v>
      </c>
      <c r="U49" s="43"/>
      <c r="V49" s="41">
        <v>2</v>
      </c>
      <c r="W49" s="42" t="s">
        <v>17</v>
      </c>
      <c r="X49" s="41">
        <v>5</v>
      </c>
      <c r="Y49" s="43"/>
      <c r="Z49" s="43"/>
      <c r="AA49" s="43"/>
      <c r="AB49" s="43"/>
      <c r="AC49" s="42" t="s">
        <v>14</v>
      </c>
      <c r="AD49" s="43"/>
    </row>
    <row r="50" spans="15:30" x14ac:dyDescent="0.25">
      <c r="O50" s="39" t="s">
        <v>56</v>
      </c>
      <c r="P50" s="40" t="s">
        <v>81</v>
      </c>
      <c r="Q50" s="41">
        <v>2</v>
      </c>
      <c r="R50" s="42" t="s">
        <v>10</v>
      </c>
      <c r="S50" s="43"/>
      <c r="T50" s="43"/>
      <c r="U50" s="41">
        <v>1</v>
      </c>
      <c r="V50" s="41">
        <v>3</v>
      </c>
      <c r="W50" s="42" t="s">
        <v>7</v>
      </c>
      <c r="X50" s="41">
        <v>5</v>
      </c>
      <c r="Y50" s="43"/>
      <c r="Z50" s="43"/>
      <c r="AA50" s="43"/>
      <c r="AB50" s="43"/>
      <c r="AC50" s="42" t="s">
        <v>11</v>
      </c>
      <c r="AD50" s="43"/>
    </row>
    <row r="51" spans="15:30" x14ac:dyDescent="0.25">
      <c r="O51" s="39" t="s">
        <v>208</v>
      </c>
      <c r="P51" s="40" t="s">
        <v>81</v>
      </c>
      <c r="Q51" s="43"/>
      <c r="R51" s="43"/>
      <c r="S51" s="41">
        <v>2</v>
      </c>
      <c r="T51" s="42" t="s">
        <v>13</v>
      </c>
      <c r="U51" s="43"/>
      <c r="V51" s="41">
        <v>2</v>
      </c>
      <c r="W51" s="42" t="s">
        <v>84</v>
      </c>
      <c r="X51" s="41">
        <v>5</v>
      </c>
      <c r="Y51" s="43"/>
      <c r="Z51" s="43"/>
      <c r="AA51" s="43"/>
      <c r="AB51" s="43"/>
      <c r="AC51" s="42" t="s">
        <v>14</v>
      </c>
      <c r="AD51" s="43"/>
    </row>
    <row r="52" spans="15:30" x14ac:dyDescent="0.25">
      <c r="O52" s="39" t="s">
        <v>24</v>
      </c>
      <c r="P52" s="40" t="s">
        <v>498</v>
      </c>
      <c r="Q52" s="41">
        <v>1</v>
      </c>
      <c r="R52" s="42" t="s">
        <v>25</v>
      </c>
      <c r="S52" s="41">
        <v>2</v>
      </c>
      <c r="T52" s="43"/>
      <c r="U52" s="41">
        <v>1</v>
      </c>
      <c r="V52" s="41">
        <v>4</v>
      </c>
      <c r="W52" s="98" t="s">
        <v>22</v>
      </c>
      <c r="X52" s="41">
        <v>5</v>
      </c>
      <c r="Y52" s="43"/>
      <c r="Z52" s="43"/>
      <c r="AA52" s="43"/>
      <c r="AB52" s="43"/>
      <c r="AC52" s="42" t="s">
        <v>26</v>
      </c>
      <c r="AD52" s="43"/>
    </row>
    <row r="53" spans="15:30" x14ac:dyDescent="0.25">
      <c r="O53" s="39" t="s">
        <v>59</v>
      </c>
      <c r="P53" s="40" t="s">
        <v>342</v>
      </c>
      <c r="Q53" s="41">
        <v>2</v>
      </c>
      <c r="R53" s="42" t="s">
        <v>10</v>
      </c>
      <c r="S53" s="43"/>
      <c r="T53" s="43"/>
      <c r="U53" s="41">
        <v>1</v>
      </c>
      <c r="V53" s="41">
        <v>3</v>
      </c>
      <c r="W53" s="43"/>
      <c r="X53" s="41">
        <v>5</v>
      </c>
      <c r="Y53" s="43"/>
      <c r="Z53" s="43"/>
      <c r="AA53" s="43"/>
      <c r="AB53" s="43"/>
      <c r="AC53" s="42" t="s">
        <v>11</v>
      </c>
      <c r="AD53" s="43"/>
    </row>
    <row r="54" spans="15:30" x14ac:dyDescent="0.25">
      <c r="O54" s="39" t="s">
        <v>209</v>
      </c>
      <c r="P54" s="40" t="s">
        <v>342</v>
      </c>
      <c r="Q54" s="43"/>
      <c r="R54" s="43"/>
      <c r="S54" s="41">
        <v>2</v>
      </c>
      <c r="T54" s="42" t="s">
        <v>13</v>
      </c>
      <c r="U54" s="43"/>
      <c r="V54" s="41">
        <v>2</v>
      </c>
      <c r="W54" s="42" t="s">
        <v>76</v>
      </c>
      <c r="X54" s="41">
        <v>5</v>
      </c>
      <c r="Y54" s="43"/>
      <c r="Z54" s="43"/>
      <c r="AA54" s="43"/>
      <c r="AB54" s="43"/>
      <c r="AC54" s="42" t="s">
        <v>14</v>
      </c>
      <c r="AD54" s="43"/>
    </row>
    <row r="55" spans="15:30" x14ac:dyDescent="0.25">
      <c r="O55" s="39" t="s">
        <v>35</v>
      </c>
      <c r="P55" s="40" t="s">
        <v>83</v>
      </c>
      <c r="Q55" s="41">
        <v>2</v>
      </c>
      <c r="R55" s="42" t="s">
        <v>10</v>
      </c>
      <c r="S55" s="43"/>
      <c r="T55" s="43"/>
      <c r="U55" s="43"/>
      <c r="V55" s="41">
        <v>2</v>
      </c>
      <c r="W55" s="43"/>
      <c r="X55" s="41">
        <v>5</v>
      </c>
      <c r="Y55" s="43"/>
      <c r="Z55" s="43"/>
      <c r="AA55" s="43"/>
      <c r="AB55" s="43"/>
      <c r="AC55" s="42" t="s">
        <v>11</v>
      </c>
      <c r="AD55" s="43"/>
    </row>
    <row r="56" spans="15:30" x14ac:dyDescent="0.25">
      <c r="O56" s="39" t="s">
        <v>36</v>
      </c>
      <c r="P56" s="40" t="s">
        <v>83</v>
      </c>
      <c r="Q56" s="43"/>
      <c r="R56" s="43"/>
      <c r="S56" s="41">
        <v>2</v>
      </c>
      <c r="T56" s="42" t="s">
        <v>13</v>
      </c>
      <c r="U56" s="43"/>
      <c r="V56" s="41">
        <v>2</v>
      </c>
      <c r="W56" s="42" t="s">
        <v>15</v>
      </c>
      <c r="X56" s="41">
        <v>5</v>
      </c>
      <c r="Y56" s="43"/>
      <c r="Z56" s="43"/>
      <c r="AA56" s="43"/>
      <c r="AB56" s="43"/>
      <c r="AC56" s="42" t="s">
        <v>14</v>
      </c>
      <c r="AD56" s="43"/>
    </row>
    <row r="57" spans="15:30" x14ac:dyDescent="0.25">
      <c r="O57" s="44" t="s">
        <v>37</v>
      </c>
      <c r="P57" s="45" t="s">
        <v>499</v>
      </c>
      <c r="Q57" s="46">
        <v>1</v>
      </c>
      <c r="R57" s="48"/>
      <c r="S57" s="46">
        <v>2</v>
      </c>
      <c r="T57" s="47" t="s">
        <v>13</v>
      </c>
      <c r="U57" s="46">
        <v>1</v>
      </c>
      <c r="V57" s="46">
        <v>4</v>
      </c>
      <c r="W57" s="47" t="s">
        <v>35</v>
      </c>
      <c r="X57" s="46">
        <v>6</v>
      </c>
      <c r="Y57" s="48"/>
      <c r="Z57" s="48"/>
      <c r="AA57" s="48"/>
      <c r="AB57" s="48"/>
      <c r="AC57" s="48"/>
      <c r="AD57" s="47" t="s">
        <v>38</v>
      </c>
    </row>
    <row r="58" spans="15:30" x14ac:dyDescent="0.25">
      <c r="O58" s="44" t="s">
        <v>48</v>
      </c>
      <c r="P58" s="45" t="s">
        <v>334</v>
      </c>
      <c r="Q58" s="46">
        <v>2</v>
      </c>
      <c r="R58" s="47" t="s">
        <v>10</v>
      </c>
      <c r="S58" s="48"/>
      <c r="T58" s="48"/>
      <c r="U58" s="46">
        <v>1</v>
      </c>
      <c r="V58" s="46">
        <v>3</v>
      </c>
      <c r="W58" s="47" t="s">
        <v>44</v>
      </c>
      <c r="X58" s="46">
        <v>6</v>
      </c>
      <c r="Y58" s="48"/>
      <c r="Z58" s="48"/>
      <c r="AA58" s="48"/>
      <c r="AB58" s="48"/>
      <c r="AC58" s="48"/>
      <c r="AD58" s="47" t="s">
        <v>11</v>
      </c>
    </row>
    <row r="59" spans="15:30" x14ac:dyDescent="0.25">
      <c r="O59" s="44" t="s">
        <v>60</v>
      </c>
      <c r="P59" s="50" t="s">
        <v>544</v>
      </c>
      <c r="Q59" s="46">
        <v>2</v>
      </c>
      <c r="R59" s="47" t="s">
        <v>10</v>
      </c>
      <c r="S59" s="48"/>
      <c r="T59" s="48"/>
      <c r="U59" s="48"/>
      <c r="V59" s="46">
        <v>2</v>
      </c>
      <c r="W59" s="47" t="s">
        <v>53</v>
      </c>
      <c r="X59" s="46">
        <v>6</v>
      </c>
      <c r="Y59" s="48"/>
      <c r="Z59" s="48"/>
      <c r="AA59" s="48"/>
      <c r="AB59" s="48"/>
      <c r="AC59" s="48"/>
      <c r="AD59" s="47" t="s">
        <v>11</v>
      </c>
    </row>
    <row r="60" spans="15:30" x14ac:dyDescent="0.25">
      <c r="O60" s="52" t="s">
        <v>477</v>
      </c>
      <c r="P60" s="53" t="s">
        <v>478</v>
      </c>
      <c r="Q60" s="54"/>
      <c r="R60" s="54"/>
      <c r="S60" s="54"/>
      <c r="T60" s="54"/>
      <c r="U60" s="54"/>
      <c r="V60" s="55">
        <v>20</v>
      </c>
      <c r="W60" s="54"/>
      <c r="X60" s="55">
        <v>6</v>
      </c>
      <c r="Y60" s="54"/>
      <c r="Z60" s="54"/>
      <c r="AA60" s="54"/>
      <c r="AB60" s="54"/>
      <c r="AC60" s="54"/>
      <c r="AD60" s="55">
        <v>20</v>
      </c>
    </row>
    <row r="61" spans="15:30" x14ac:dyDescent="0.25">
      <c r="O61" s="56"/>
      <c r="P61" s="39" t="s">
        <v>67</v>
      </c>
      <c r="Q61" s="43"/>
      <c r="R61" s="43"/>
      <c r="S61" s="43"/>
      <c r="T61" s="43"/>
      <c r="U61" s="43"/>
      <c r="V61" s="43"/>
      <c r="W61" s="43"/>
      <c r="X61" s="43"/>
      <c r="Y61" s="42" t="s">
        <v>68</v>
      </c>
      <c r="Z61" s="42" t="s">
        <v>69</v>
      </c>
      <c r="AA61" s="42" t="s">
        <v>133</v>
      </c>
      <c r="AB61" s="42" t="s">
        <v>500</v>
      </c>
      <c r="AC61" s="42" t="s">
        <v>70</v>
      </c>
      <c r="AD61" s="42" t="s">
        <v>71</v>
      </c>
    </row>
    <row r="62" spans="15:30" x14ac:dyDescent="0.25">
      <c r="O62" s="56"/>
      <c r="P62" s="39" t="s">
        <v>75</v>
      </c>
      <c r="Q62" s="43"/>
      <c r="R62" s="43"/>
      <c r="S62" s="43"/>
      <c r="T62" s="43"/>
      <c r="U62" s="43"/>
      <c r="V62" s="41">
        <v>9</v>
      </c>
      <c r="W62" s="43"/>
      <c r="X62" s="42" t="s">
        <v>480</v>
      </c>
      <c r="Y62" s="43"/>
      <c r="Z62" s="41">
        <v>2</v>
      </c>
      <c r="AA62" s="41">
        <v>2</v>
      </c>
      <c r="AB62" s="43"/>
      <c r="AC62" s="41">
        <v>5</v>
      </c>
      <c r="AD62" s="43"/>
    </row>
    <row r="63" spans="15:30" x14ac:dyDescent="0.25">
      <c r="O63" s="56"/>
      <c r="P63" s="39" t="s">
        <v>73</v>
      </c>
      <c r="Q63" s="43"/>
      <c r="R63" s="43"/>
      <c r="S63" s="43"/>
      <c r="T63" s="43"/>
      <c r="U63" s="43"/>
      <c r="V63" s="43"/>
      <c r="W63" s="43"/>
      <c r="X63" s="43"/>
      <c r="Y63" s="41">
        <v>27</v>
      </c>
      <c r="Z63" s="41">
        <v>29</v>
      </c>
      <c r="AA63" s="41">
        <v>31</v>
      </c>
      <c r="AB63" s="41">
        <v>33</v>
      </c>
      <c r="AC63" s="41">
        <v>31</v>
      </c>
      <c r="AD63" s="41">
        <v>29</v>
      </c>
    </row>
    <row r="64" spans="15:30" x14ac:dyDescent="0.25">
      <c r="O64" s="56"/>
      <c r="P64" s="39" t="s">
        <v>74</v>
      </c>
      <c r="Q64" s="43"/>
      <c r="R64" s="43"/>
      <c r="S64" s="43"/>
      <c r="T64" s="43"/>
      <c r="U64" s="43"/>
      <c r="V64" s="41">
        <v>180</v>
      </c>
      <c r="W64" s="43"/>
      <c r="X64" s="43"/>
      <c r="Y64" s="43"/>
      <c r="Z64" s="43"/>
      <c r="AA64" s="43"/>
      <c r="AB64" s="43"/>
      <c r="AC64" s="43"/>
      <c r="AD64" s="43"/>
    </row>
    <row r="65" spans="15:30" x14ac:dyDescent="0.25">
      <c r="O65" s="123" t="s">
        <v>377</v>
      </c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  <c r="AA65" s="124"/>
      <c r="AB65" s="124"/>
      <c r="AC65" s="124"/>
      <c r="AD65" s="124"/>
    </row>
    <row r="66" spans="15:30" x14ac:dyDescent="0.25">
      <c r="O66" s="125" t="s">
        <v>378</v>
      </c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</row>
    <row r="67" spans="15:30" x14ac:dyDescent="0.25">
      <c r="O67" s="120" t="s">
        <v>379</v>
      </c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20"/>
      <c r="AD67" s="120"/>
    </row>
    <row r="68" spans="15:30" x14ac:dyDescent="0.25">
      <c r="O68" s="125" t="s">
        <v>380</v>
      </c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</row>
    <row r="69" spans="15:30" x14ac:dyDescent="0.25">
      <c r="O69" s="120" t="s">
        <v>376</v>
      </c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</row>
    <row r="70" spans="15:30" x14ac:dyDescent="0.25">
      <c r="O70" s="119" t="s">
        <v>540</v>
      </c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</row>
    <row r="71" spans="15:30" x14ac:dyDescent="0.25">
      <c r="O71" s="120" t="s">
        <v>545</v>
      </c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20"/>
      <c r="AD71" s="120"/>
    </row>
    <row r="72" spans="15:30" x14ac:dyDescent="0.25">
      <c r="O72" s="121" t="s">
        <v>481</v>
      </c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</row>
    <row r="73" spans="15:30" x14ac:dyDescent="0.25">
      <c r="O73" s="119" t="s">
        <v>542</v>
      </c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</row>
    <row r="74" spans="15:30" x14ac:dyDescent="0.25">
      <c r="O74" s="195">
        <v>42684.457638888889</v>
      </c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  <c r="AA74" s="196"/>
      <c r="AB74" s="196"/>
      <c r="AC74" s="196"/>
      <c r="AD74" s="196"/>
    </row>
    <row r="75" spans="15:30" x14ac:dyDescent="0.25">
      <c r="O75" s="194" t="s">
        <v>538</v>
      </c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3"/>
      <c r="AB75" s="193"/>
      <c r="AC75" s="193"/>
      <c r="AD75" s="193"/>
    </row>
  </sheetData>
  <sortState ref="O3:AD59">
    <sortCondition ref="X3:X59"/>
    <sortCondition ref="P3:P59"/>
  </sortState>
  <mergeCells count="76">
    <mergeCell ref="B44:M44"/>
    <mergeCell ref="O75:AD75"/>
    <mergeCell ref="O74:AD74"/>
    <mergeCell ref="B28:C28"/>
    <mergeCell ref="B39:M39"/>
    <mergeCell ref="B40:M40"/>
    <mergeCell ref="B41:M41"/>
    <mergeCell ref="B42:M42"/>
    <mergeCell ref="B43:M43"/>
    <mergeCell ref="B34:M34"/>
    <mergeCell ref="B35:M35"/>
    <mergeCell ref="B36:M36"/>
    <mergeCell ref="B37:M37"/>
    <mergeCell ref="B38:M38"/>
    <mergeCell ref="H30:I30"/>
    <mergeCell ref="J30:K30"/>
    <mergeCell ref="L30:M30"/>
    <mergeCell ref="B32:M32"/>
    <mergeCell ref="B33:M33"/>
    <mergeCell ref="L9:M9"/>
    <mergeCell ref="B11:B14"/>
    <mergeCell ref="C11:C14"/>
    <mergeCell ref="D11:D12"/>
    <mergeCell ref="E11:E12"/>
    <mergeCell ref="F12:F13"/>
    <mergeCell ref="G12:G13"/>
    <mergeCell ref="D13:D14"/>
    <mergeCell ref="J14:J15"/>
    <mergeCell ref="K14:K15"/>
    <mergeCell ref="D15:E17"/>
    <mergeCell ref="H17:I19"/>
    <mergeCell ref="B18:C18"/>
    <mergeCell ref="L3:M3"/>
    <mergeCell ref="B5:B7"/>
    <mergeCell ref="C5:C7"/>
    <mergeCell ref="H5:I5"/>
    <mergeCell ref="F7:F8"/>
    <mergeCell ref="G7:G8"/>
    <mergeCell ref="H7:H8"/>
    <mergeCell ref="I7:I8"/>
    <mergeCell ref="B3:C3"/>
    <mergeCell ref="D3:E3"/>
    <mergeCell ref="F3:G3"/>
    <mergeCell ref="H3:I3"/>
    <mergeCell ref="J3:K3"/>
    <mergeCell ref="J7:K8"/>
    <mergeCell ref="B8:C10"/>
    <mergeCell ref="B27:C27"/>
    <mergeCell ref="B30:C30"/>
    <mergeCell ref="D30:E30"/>
    <mergeCell ref="F30:G30"/>
    <mergeCell ref="F24:G24"/>
    <mergeCell ref="F25:G25"/>
    <mergeCell ref="D19:E25"/>
    <mergeCell ref="F20:F22"/>
    <mergeCell ref="G20:G22"/>
    <mergeCell ref="B19:C25"/>
    <mergeCell ref="L21:M21"/>
    <mergeCell ref="F23:G23"/>
    <mergeCell ref="L25:M25"/>
    <mergeCell ref="B26:C26"/>
    <mergeCell ref="H6:I6"/>
    <mergeCell ref="E8:E10"/>
    <mergeCell ref="F9:F10"/>
    <mergeCell ref="G9:G10"/>
    <mergeCell ref="D8:D10"/>
    <mergeCell ref="O70:AD70"/>
    <mergeCell ref="O71:AD71"/>
    <mergeCell ref="O72:AD72"/>
    <mergeCell ref="O73:AD73"/>
    <mergeCell ref="O1:AD1"/>
    <mergeCell ref="O65:AD65"/>
    <mergeCell ref="O66:AD66"/>
    <mergeCell ref="O67:AD67"/>
    <mergeCell ref="O68:AD68"/>
    <mergeCell ref="O69:AD69"/>
  </mergeCells>
  <hyperlinks>
    <hyperlink ref="P11" r:id="rId1" display="http://www.inf.elte.hu/karunkrol/oktatas/tantervek/tematika/PTIBScABCTE/Matematikai_alapozas_ABCT_hun.pdf" xr:uid="{00000000-0004-0000-0100-000000000000}"/>
    <hyperlink ref="P14" r:id="rId2" display="http://www.inf.elte.hu/karunkrol/oktatas/tantervek/tematika/PTIBScABCTE/Analizis_1_ABCT_hun.pdf" xr:uid="{00000000-0004-0000-0100-000001000000}"/>
    <hyperlink ref="P15" r:id="rId3" display="http://www.inf.elte.hu/karunkrol/oktatas/tantervek/tematika/PTIBScABCTE/Analizis_1_ABCT_hun.pdf" xr:uid="{00000000-0004-0000-0100-000002000000}"/>
    <hyperlink ref="P24" r:id="rId4" display="http://www.inf.elte.hu/karunkrol/oktatas/tantervek/tematika/PTIBScABCTE/Analizis_2_ABC_hun.pdf" xr:uid="{00000000-0004-0000-0100-000003000000}"/>
    <hyperlink ref="P25" r:id="rId5" display="http://www.inf.elte.hu/karunkrol/oktatas/tantervek/tematika/PTIBScABCTE/Analizis_2_ABC_hun.pdf" xr:uid="{00000000-0004-0000-0100-000004000000}"/>
    <hyperlink ref="P37" r:id="rId6" display="http://www.inf.elte.hu/karunkrol/oktatas/tantervek/tematika/PTIBScABCTE/Analizis_3_A_hun.pdf" xr:uid="{00000000-0004-0000-0100-000005000000}"/>
    <hyperlink ref="P38" r:id="rId7" display="http://www.inf.elte.hu/karunkrol/oktatas/tantervek/tematika/PTIBScABCTE/Analizis_3_A_hun.pdf" xr:uid="{00000000-0004-0000-0100-000006000000}"/>
    <hyperlink ref="P48" r:id="rId8" display="http://www.inf.elte.hu/karunkrol/oktatas/tantervek/tematika/PTIBScABCTE/Az_analizis_alkalmazasai_A_hun.pdf" xr:uid="{00000000-0004-0000-0100-000007000000}"/>
    <hyperlink ref="P49" r:id="rId9" display="http://www.inf.elte.hu/karunkrol/oktatas/tantervek/tematika/PTIBScABCTE/Az_analizis_alkalmazasai_A_hun.pdf" xr:uid="{00000000-0004-0000-0100-000008000000}"/>
    <hyperlink ref="P28" r:id="rId10" display="http://www.inf.elte.hu/karunkrol/oktatas/tantervek/tematika/PTIBScABCTE/Numerikus_modszerek_1_ABC_hun.pdf" xr:uid="{00000000-0004-0000-0100-000009000000}"/>
    <hyperlink ref="P29" r:id="rId11" display="http://www.inf.elte.hu/karunkrol/oktatas/tantervek/tematika/PTIBScABCTE/Numerikus_modszerek_1_ABC_hun.pdf" xr:uid="{00000000-0004-0000-0100-00000A000000}"/>
    <hyperlink ref="P41" r:id="rId12" display="http://www.inf.elte.hu/karunkrol/oktatas/tantervek/tematika/PTIBScABCTE/Numerikus_modszerek_2_A_hun.pdf" xr:uid="{00000000-0004-0000-0100-00000B000000}"/>
    <hyperlink ref="P42" r:id="rId13" display="http://www.inf.elte.hu/karunkrol/oktatas/tantervek/tematika/PTIBScABCTE/Numerikus_modszerek_2_A_hun.pdf" xr:uid="{00000000-0004-0000-0100-00000C000000}"/>
    <hyperlink ref="P52" r:id="rId14" display="http://www.inf.elte.hu/karunkrol/oktatas/tantervek/tematika/PTIBScABCTE/Numerikus_algoritmusok_A_hun.pdf" xr:uid="{00000000-0004-0000-0100-00000D000000}"/>
    <hyperlink ref="P3" r:id="rId15" display="http://www.inf.elte.hu/karunkrol/oktatas/tantervek/tematika/PTIBScABCTE/Diszkret_matematika_1_ABCT_hun.pdf" xr:uid="{00000000-0004-0000-0100-00000E000000}"/>
    <hyperlink ref="P5" r:id="rId16" display="http://www.inf.elte.hu/karunkrol/oktatas/tantervek/tematika/PTIBScABCTE/Diszkret_matematika_1_ABCT_hun.pdf" xr:uid="{00000000-0004-0000-0100-00000F000000}"/>
    <hyperlink ref="P16" r:id="rId17" display="http://www.inf.elte.hu/karunkrol/oktatas/tantervek/tematika/PTIBScABCTE/Diszkret_matematika_2_ABC_hun.pdf" xr:uid="{00000000-0004-0000-0100-000010000000}"/>
    <hyperlink ref="P17" r:id="rId18" display="http://www.inf.elte.hu/karunkrol/oktatas/tantervek/tematika/PTIBScABCTE/Diszkret_matematika_2_ABC_hun.pdf" xr:uid="{00000000-0004-0000-0100-000011000000}"/>
    <hyperlink ref="P9" r:id="rId19" display="http://www.inf.elte.hu/karunkrol/oktatas/tantervek/tematika/PTIBScABCTE/Linearis_algebra_ABC_hun.pdf" xr:uid="{00000000-0004-0000-0100-000012000000}"/>
    <hyperlink ref="P10" r:id="rId20" display="http://www.inf.elte.hu/karunkrol/oktatas/tantervek/tematika/PTIBScABCTE/Linearis_algebra_ABC_hun.pdf" xr:uid="{00000000-0004-0000-0100-000013000000}"/>
    <hyperlink ref="P55" r:id="rId21" display="http://www.inf.elte.hu/karunkrol/oktatas/tantervek/tematika/PTIBScABCTE/Valoszinusegszamitas_A_hun.pdf" xr:uid="{00000000-0004-0000-0100-000014000000}"/>
    <hyperlink ref="P56" r:id="rId22" display="http://www.inf.elte.hu/karunkrol/oktatas/tantervek/tematika/PTIBScABCTE/Valoszinusegszamitas_A_hun.pdf" xr:uid="{00000000-0004-0000-0100-000015000000}"/>
    <hyperlink ref="P57" r:id="rId23" display="http://www.inf.elte.hu/karunkrol/oktatas/tantervek/tematika/PTIBScABCTE/Matematikai_statisztika_A_hun.pdf" xr:uid="{00000000-0004-0000-0100-000016000000}"/>
    <hyperlink ref="P39" r:id="rId24" display="http://www.inf.elte.hu/karunkrol/oktatas/tantervek/tematika/PTIBScABCTE/Komputeralgebra_rendszerek_A_hun.pdf" xr:uid="{00000000-0004-0000-0100-000017000000}"/>
    <hyperlink ref="P40" r:id="rId25" display="http://www.inf.elte.hu/karunkrol/oktatas/tantervek/tematika/PTIBScABCTE/Komputeralgebra_rendszerek_A_hun.pdf" xr:uid="{00000000-0004-0000-0100-000018000000}"/>
    <hyperlink ref="P26" r:id="rId26" display="http://www.inf.elte.hu/karunkrol/oktatas/tantervek/tematika/PTIBScABCTE/Logika_es_szamitaselmelet_ABCT_hun.pdf" xr:uid="{00000000-0004-0000-0100-000019000000}"/>
    <hyperlink ref="P27" r:id="rId27" display="http://www.inf.elte.hu/karunkrol/oktatas/tantervek/tematika/PTIBScABCTE/Logika_es_szamitaselmelet_ABCT_hun.pdf" xr:uid="{00000000-0004-0000-0100-00001A000000}"/>
    <hyperlink ref="P22" r:id="rId28" display="http://www.inf.elte.hu/karunkrol/oktatas/tantervek/tematika/PTIBScABCTE/Algoritmusok_es_adatszerkezetek_1_ABC_hun.pdf" xr:uid="{00000000-0004-0000-0100-00001B000000}"/>
    <hyperlink ref="P23" r:id="rId29" display="http://www.inf.elte.hu/karunkrol/oktatas/tantervek/tematika/PTIBScABCTE/Algoritmusok_es_adatszerkezetek_1_ABC_hun.pdf" xr:uid="{00000000-0004-0000-0100-00001C000000}"/>
    <hyperlink ref="P35" r:id="rId30" display="http://www.inf.elte.hu/karunkrol/oktatas/tantervek/tematika/PTIBScABCTE/Algoritmusok_es_adatszerkezetek_2_ABCT_hun.pdf" xr:uid="{00000000-0004-0000-0100-00001D000000}"/>
    <hyperlink ref="P36" r:id="rId31" display="http://www.inf.elte.hu/karunkrol/oktatas/tantervek/tematika/PTIBScABCTE/Algoritmusok_es_adatszerkezetek_2_ABCT_hun.pdf" xr:uid="{00000000-0004-0000-0100-00001E000000}"/>
    <hyperlink ref="P18" r:id="rId32" display="http://www.inf.elte.hu/karunkrol/oktatas/tantervek/tematika/PTIBScABCTE/Formalis_nyelvek_es_automatak_ABCE_hun.pdf" xr:uid="{00000000-0004-0000-0100-00001F000000}"/>
    <hyperlink ref="P19" r:id="rId33" display="http://www.inf.elte.hu/karunkrol/oktatas/tantervek/tematika/PTIBScABCTE/Formalis_nyelvek_es_automatak_ABCE_hun.pdf" xr:uid="{00000000-0004-0000-0100-000020000000}"/>
    <hyperlink ref="P58" r:id="rId34" display="http://www.inf.elte.hu/karunkrol/oktatas/tantervek/tematika/PTIBScABCTE/Mesterseges_intelligencia_ABCTE_hun.pdf" xr:uid="{00000000-0004-0000-0100-000021000000}"/>
    <hyperlink ref="P12" r:id="rId35" display="http://www.inf.elte.hu/karunkrol/oktatas/tantervek/tematika/PTIBScABCTE/Programozasi_alapismeretek_ABCT_hun.pdf" xr:uid="{00000000-0004-0000-0100-000022000000}"/>
    <hyperlink ref="P13" r:id="rId36" display="http://www.inf.elte.hu/karunkrol/oktatas/tantervek/tematika/PTIBScABCTE/Szamitogepes_alapismeretek_ABCT_hun.pdf" xr:uid="{00000000-0004-0000-0100-000023000000}"/>
    <hyperlink ref="P20" r:id="rId37" display="http://www.inf.elte.hu/karunkrol/oktatas/tantervek/tematika/PTIBScABCTE/Programozas_AC_hun.pdf" xr:uid="{00000000-0004-0000-0100-000024000000}"/>
    <hyperlink ref="P21" r:id="rId38" display="http://www.inf.elte.hu/karunkrol/oktatas/tantervek/tematika/PTIBScABCTE/Programozasi_nyelvek_(C)_A_hun.pdf" xr:uid="{00000000-0004-0000-0100-000025000000}"/>
    <hyperlink ref="P31" r:id="rId39" display="http://www.inf.elte.hu/karunkrol/oktatas/tantervek/tematika/PTIBScABCTE/Programozasi_nyelvek_(ADA)_AB_hun.pdf" xr:uid="{00000000-0004-0000-0100-000026000000}"/>
    <hyperlink ref="P32" r:id="rId40" display="http://www.inf.elte.hu/karunkrol/oktatas/tantervek/tematika/PTIBScABCTE/Szoftvertechnologia_ABT_hun.pdf" xr:uid="{00000000-0004-0000-0100-000027000000}"/>
    <hyperlink ref="P50" r:id="rId41" display="http://www.inf.elte.hu/karunkrol/oktatas/tantervek/tematika/PTIBScABCTE/Forditoprogramok_ABCT_hun.pdf" xr:uid="{00000000-0004-0000-0100-000028000000}"/>
    <hyperlink ref="P51" r:id="rId42" display="http://www.inf.elte.hu/karunkrol/oktatas/tantervek/tematika/PTIBScABCTE/Forditoprogramok_ABCT_hun.pdf" xr:uid="{00000000-0004-0000-0100-000029000000}"/>
    <hyperlink ref="P30" r:id="rId43" display="http://www.inf.elte.hu/karunkrol/oktatas/tantervek/tematika/PTIBScABCTE/Objektumelvu_alkalmazasok_fejlesztese_ABT_hun.pdf" xr:uid="{00000000-0004-0000-0100-00002A000000}"/>
    <hyperlink ref="P43" r:id="rId44" display="http://www.inf.elte.hu/karunkrol/oktatas/tantervek/tematika/PTIBScABCTE/Operacios_rendszerek_ABCE_hun.pdf" xr:uid="{00000000-0004-0000-0100-00002B000000}"/>
    <hyperlink ref="P53" r:id="rId45" display="http://www.inf.elte.hu/karunkrol/oktatas/tantervek/tematika/PTIBScABCTE/Szamitogepes_halozatok_ABCT_hun.pdf" xr:uid="{00000000-0004-0000-0100-00002C000000}"/>
    <hyperlink ref="P54" r:id="rId46" display="http://www.inf.elte.hu/karunkrol/oktatas/tantervek/tematika/PTIBScABCTE/Szamitogepes_halozatok_ABCT_hun.pdf" xr:uid="{00000000-0004-0000-0100-00002D000000}"/>
    <hyperlink ref="P59" r:id="rId47" display="http://www.inf.elte.hu/karunkrol/oktatas/tantervek/tematika/PTIBScABCTE/Osztott_rendszerek_A_hun.pdf" xr:uid="{00000000-0004-0000-0100-00002E000000}"/>
    <hyperlink ref="P33" r:id="rId48" display="http://www.inf.elte.hu/karunkrol/oktatas/tantervek/tematika/PTIBScABCTE/Adatbazisok_1_ABCT_hun.pdf" xr:uid="{00000000-0004-0000-0100-00002F000000}"/>
    <hyperlink ref="P34" r:id="rId49" display="http://www.inf.elte.hu/karunkrol/oktatas/tantervek/tematika/PTIBScABCTE/Adatbazisok_1_ABCT_hun.pdf" xr:uid="{00000000-0004-0000-0100-000030000000}"/>
    <hyperlink ref="P46" r:id="rId50" display="http://www.inf.elte.hu/karunkrol/oktatas/tantervek/tematika/PTIBScABCTE/Adatbazisok_2_ABT_hun.pdf" xr:uid="{00000000-0004-0000-0100-000031000000}"/>
    <hyperlink ref="P47" r:id="rId51" display="http://www.inf.elte.hu/karunkrol/oktatas/tantervek/tematika/PTIBScABCTE/Adatbazisok_2_ABT_hun.pdf" xr:uid="{00000000-0004-0000-0100-000032000000}"/>
    <hyperlink ref="P44" r:id="rId52" display="http://www.inf.elte.hu/karunkrol/oktatas/tantervek/tematika/PTIBScABCTE/Szamitogepes_grafika_ACT_hun.pdf" xr:uid="{00000000-0004-0000-0100-000033000000}"/>
    <hyperlink ref="P45" r:id="rId53" display="http://www.inf.elte.hu/karunkrol/oktatas/tantervek/tematika/PTIBScABCTE/Szamitogepes_grafika_ACT_hun.pdf" xr:uid="{00000000-0004-0000-0100-000034000000}"/>
    <hyperlink ref="P8" r:id="rId54" display="http://www.inf.elte.hu/karunkrol/oktatas/tantervek/tematika/PTIBScABCTE/Kozgazdasagi_alapismeretek_ABC_hun.pdf" xr:uid="{00000000-0004-0000-0100-000035000000}"/>
    <hyperlink ref="P7" r:id="rId55" display="http://www.inf.elte.hu/karunkrol/oktatas/tantervek/tematika/PTIBScABCTE/Jogi_es_menedzsment_alapismeretek_ABC_hun.pdf" xr:uid="{00000000-0004-0000-0100-000036000000}"/>
    <hyperlink ref="O70" r:id="rId56" xr:uid="{00000000-0004-0000-0100-000037000000}"/>
    <hyperlink ref="O73" r:id="rId57" xr:uid="{00000000-0004-0000-0100-000038000000}"/>
    <hyperlink ref="O75" r:id="rId58" xr:uid="{00000000-0004-0000-0100-000039000000}"/>
  </hyperlinks>
  <pageMargins left="0.7" right="0.7" top="0.75" bottom="0.75" header="0.3" footer="0.3"/>
  <pageSetup paperSize="9" orientation="portrait" r:id="rId5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D76"/>
  <sheetViews>
    <sheetView topLeftCell="D3" workbookViewId="0">
      <selection activeCell="N3" sqref="N3"/>
    </sheetView>
  </sheetViews>
  <sheetFormatPr defaultRowHeight="15" x14ac:dyDescent="0.25"/>
  <cols>
    <col min="1" max="1" width="1.85546875" style="21" customWidth="1"/>
    <col min="2" max="3" width="12.7109375" style="21" bestFit="1" customWidth="1"/>
    <col min="4" max="7" width="17.28515625" style="21" bestFit="1" customWidth="1"/>
    <col min="8" max="9" width="13.85546875" style="21" bestFit="1" customWidth="1"/>
    <col min="10" max="10" width="29.28515625" style="21" bestFit="1" customWidth="1"/>
    <col min="11" max="11" width="18.5703125" style="21" bestFit="1" customWidth="1"/>
    <col min="12" max="12" width="23.7109375" style="21" bestFit="1" customWidth="1"/>
    <col min="13" max="13" width="14.42578125" style="21" bestFit="1" customWidth="1"/>
    <col min="14" max="14" width="2.5703125" style="21" customWidth="1"/>
    <col min="15" max="15" width="15.5703125" style="21" bestFit="1" customWidth="1"/>
    <col min="16" max="16" width="51.5703125" style="21" bestFit="1" customWidth="1"/>
    <col min="17" max="19" width="3.7109375" style="4" bestFit="1" customWidth="1"/>
    <col min="20" max="20" width="4.28515625" style="4" bestFit="1" customWidth="1"/>
    <col min="21" max="21" width="3.7109375" style="4" bestFit="1" customWidth="1"/>
    <col min="22" max="22" width="4" style="4" bestFit="1" customWidth="1"/>
    <col min="23" max="23" width="40.5703125" style="21" bestFit="1" customWidth="1"/>
    <col min="24" max="24" width="3.7109375" style="4" bestFit="1" customWidth="1"/>
    <col min="25" max="25" width="7.7109375" style="21" bestFit="1" customWidth="1"/>
    <col min="26" max="30" width="6.7109375" style="21" bestFit="1" customWidth="1"/>
    <col min="31" max="31" width="3.5703125" style="21" bestFit="1" customWidth="1"/>
    <col min="32" max="16384" width="9.140625" style="21"/>
  </cols>
  <sheetData>
    <row r="1" spans="2:30" s="95" customFormat="1" x14ac:dyDescent="0.25">
      <c r="O1" s="122" t="s">
        <v>482</v>
      </c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</row>
    <row r="2" spans="2:30" ht="70.5" thickBot="1" x14ac:dyDescent="0.3">
      <c r="O2" s="33" t="s">
        <v>182</v>
      </c>
      <c r="P2" s="33" t="s">
        <v>183</v>
      </c>
      <c r="Q2" s="34" t="s">
        <v>0</v>
      </c>
      <c r="R2" s="34" t="s">
        <v>1</v>
      </c>
      <c r="S2" s="34" t="s">
        <v>2</v>
      </c>
      <c r="T2" s="34" t="s">
        <v>184</v>
      </c>
      <c r="U2" s="34" t="s">
        <v>3</v>
      </c>
      <c r="V2" s="34" t="s">
        <v>4</v>
      </c>
      <c r="W2" s="33" t="s">
        <v>185</v>
      </c>
      <c r="X2" s="34" t="s">
        <v>85</v>
      </c>
      <c r="Y2" s="34" t="s">
        <v>186</v>
      </c>
      <c r="Z2" s="34" t="s">
        <v>187</v>
      </c>
      <c r="AA2" s="34" t="s">
        <v>188</v>
      </c>
      <c r="AB2" s="34" t="s">
        <v>189</v>
      </c>
      <c r="AC2" s="34" t="s">
        <v>190</v>
      </c>
      <c r="AD2" s="34" t="s">
        <v>191</v>
      </c>
    </row>
    <row r="3" spans="2:30" ht="16.5" thickTop="1" thickBot="1" x14ac:dyDescent="0.3">
      <c r="B3" s="156" t="s">
        <v>186</v>
      </c>
      <c r="C3" s="157"/>
      <c r="D3" s="156" t="s">
        <v>187</v>
      </c>
      <c r="E3" s="157"/>
      <c r="F3" s="156" t="s">
        <v>188</v>
      </c>
      <c r="G3" s="157"/>
      <c r="H3" s="156" t="s">
        <v>189</v>
      </c>
      <c r="I3" s="157"/>
      <c r="J3" s="156" t="s">
        <v>190</v>
      </c>
      <c r="K3" s="157"/>
      <c r="L3" s="156" t="s">
        <v>191</v>
      </c>
      <c r="M3" s="157"/>
      <c r="O3" s="39" t="s">
        <v>27</v>
      </c>
      <c r="P3" s="40" t="s">
        <v>326</v>
      </c>
      <c r="Q3" s="41">
        <v>3</v>
      </c>
      <c r="R3" s="42" t="s">
        <v>10</v>
      </c>
      <c r="S3" s="43"/>
      <c r="T3" s="43"/>
      <c r="U3" s="41">
        <v>1</v>
      </c>
      <c r="V3" s="41">
        <v>4</v>
      </c>
      <c r="W3" s="42" t="s">
        <v>7</v>
      </c>
      <c r="X3" s="41">
        <v>1</v>
      </c>
      <c r="Y3" s="42" t="s">
        <v>28</v>
      </c>
      <c r="Z3" s="43"/>
      <c r="AA3" s="43"/>
      <c r="AB3" s="43"/>
      <c r="AC3" s="43"/>
      <c r="AD3" s="43"/>
    </row>
    <row r="4" spans="2:30" s="60" customFormat="1" ht="15.75" hidden="1" thickTop="1" x14ac:dyDescent="0.25"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O4" s="44"/>
      <c r="P4" s="45"/>
      <c r="Q4" s="46"/>
      <c r="R4" s="47"/>
      <c r="S4" s="48"/>
      <c r="T4" s="48"/>
      <c r="U4" s="46"/>
      <c r="V4" s="46"/>
      <c r="W4" s="47"/>
      <c r="X4" s="46"/>
      <c r="Y4" s="47"/>
      <c r="Z4" s="48"/>
      <c r="AA4" s="48"/>
      <c r="AB4" s="48"/>
      <c r="AC4" s="48"/>
      <c r="AD4" s="48"/>
    </row>
    <row r="5" spans="2:30" ht="15.75" thickTop="1" x14ac:dyDescent="0.25">
      <c r="B5" s="167" t="s">
        <v>219</v>
      </c>
      <c r="C5" s="168"/>
      <c r="D5" s="136" t="s">
        <v>224</v>
      </c>
      <c r="E5" s="136" t="s">
        <v>225</v>
      </c>
      <c r="F5" s="136" t="s">
        <v>229</v>
      </c>
      <c r="G5" s="136" t="s">
        <v>230</v>
      </c>
      <c r="H5" s="173" t="s">
        <v>233</v>
      </c>
      <c r="I5" s="174"/>
      <c r="J5" s="173" t="s">
        <v>508</v>
      </c>
      <c r="K5" s="174"/>
      <c r="L5" s="4"/>
      <c r="M5" s="4"/>
      <c r="O5" s="39" t="s">
        <v>29</v>
      </c>
      <c r="P5" s="40" t="s">
        <v>326</v>
      </c>
      <c r="Q5" s="43"/>
      <c r="R5" s="43"/>
      <c r="S5" s="41">
        <v>3</v>
      </c>
      <c r="T5" s="42" t="s">
        <v>13</v>
      </c>
      <c r="U5" s="43"/>
      <c r="V5" s="41">
        <v>3</v>
      </c>
      <c r="W5" s="42" t="s">
        <v>7</v>
      </c>
      <c r="X5" s="41">
        <v>1</v>
      </c>
      <c r="Y5" s="42" t="s">
        <v>30</v>
      </c>
      <c r="Z5" s="43"/>
      <c r="AA5" s="43"/>
      <c r="AB5" s="43"/>
      <c r="AC5" s="43"/>
      <c r="AD5" s="43"/>
    </row>
    <row r="6" spans="2:30" x14ac:dyDescent="0.25">
      <c r="B6" s="169"/>
      <c r="C6" s="170"/>
      <c r="D6" s="137"/>
      <c r="E6" s="137"/>
      <c r="F6" s="138"/>
      <c r="G6" s="138"/>
      <c r="H6" s="4"/>
      <c r="I6" s="4"/>
      <c r="J6" s="6" t="s">
        <v>244</v>
      </c>
      <c r="K6" s="6" t="s">
        <v>505</v>
      </c>
      <c r="L6" s="4"/>
      <c r="M6" s="4"/>
      <c r="O6" s="39" t="s">
        <v>467</v>
      </c>
      <c r="P6" s="49" t="s">
        <v>539</v>
      </c>
      <c r="Q6" s="43"/>
      <c r="R6" s="43"/>
      <c r="S6" s="41">
        <v>45</v>
      </c>
      <c r="T6" s="42" t="s">
        <v>468</v>
      </c>
      <c r="U6" s="43"/>
      <c r="V6" s="41">
        <v>0</v>
      </c>
      <c r="W6" s="42" t="s">
        <v>7</v>
      </c>
      <c r="X6" s="41">
        <v>1</v>
      </c>
      <c r="Y6" s="42" t="s">
        <v>469</v>
      </c>
      <c r="Z6" s="43"/>
      <c r="AA6" s="43"/>
      <c r="AB6" s="43"/>
      <c r="AC6" s="43"/>
      <c r="AD6" s="43"/>
    </row>
    <row r="7" spans="2:30" x14ac:dyDescent="0.25">
      <c r="B7" s="139"/>
      <c r="C7" s="171"/>
      <c r="D7" s="138"/>
      <c r="E7" s="138"/>
      <c r="F7" s="158" t="s">
        <v>231</v>
      </c>
      <c r="G7" s="158" t="s">
        <v>232</v>
      </c>
      <c r="H7" s="161" t="s">
        <v>515</v>
      </c>
      <c r="I7" s="164"/>
      <c r="J7" s="4"/>
      <c r="K7" s="4"/>
      <c r="L7" s="4"/>
      <c r="M7" s="4"/>
      <c r="O7" s="39" t="s">
        <v>66</v>
      </c>
      <c r="P7" s="40" t="s">
        <v>470</v>
      </c>
      <c r="Q7" s="41">
        <v>2</v>
      </c>
      <c r="R7" s="42" t="s">
        <v>10</v>
      </c>
      <c r="S7" s="43"/>
      <c r="T7" s="43"/>
      <c r="U7" s="43"/>
      <c r="V7" s="41">
        <v>2</v>
      </c>
      <c r="W7" s="42" t="s">
        <v>7</v>
      </c>
      <c r="X7" s="41">
        <v>1</v>
      </c>
      <c r="Y7" s="42" t="s">
        <v>11</v>
      </c>
      <c r="Z7" s="43"/>
      <c r="AA7" s="43"/>
      <c r="AB7" s="43"/>
      <c r="AC7" s="43"/>
      <c r="AD7" s="43"/>
    </row>
    <row r="8" spans="2:30" x14ac:dyDescent="0.25">
      <c r="B8" s="26" t="s">
        <v>220</v>
      </c>
      <c r="C8" s="26" t="s">
        <v>221</v>
      </c>
      <c r="D8" s="4"/>
      <c r="E8" s="4"/>
      <c r="F8" s="160"/>
      <c r="G8" s="160"/>
      <c r="H8" s="162"/>
      <c r="I8" s="166"/>
      <c r="J8" s="4"/>
      <c r="K8" s="4"/>
      <c r="L8" s="4"/>
      <c r="M8" s="4"/>
      <c r="O8" s="39" t="s">
        <v>65</v>
      </c>
      <c r="P8" s="40" t="s">
        <v>471</v>
      </c>
      <c r="Q8" s="41">
        <v>3</v>
      </c>
      <c r="R8" s="42" t="s">
        <v>10</v>
      </c>
      <c r="S8" s="43"/>
      <c r="T8" s="43"/>
      <c r="U8" s="43"/>
      <c r="V8" s="41">
        <v>3</v>
      </c>
      <c r="W8" s="42" t="s">
        <v>7</v>
      </c>
      <c r="X8" s="41">
        <v>1</v>
      </c>
      <c r="Y8" s="42" t="s">
        <v>28</v>
      </c>
      <c r="Z8" s="43"/>
      <c r="AA8" s="43"/>
      <c r="AB8" s="43"/>
      <c r="AC8" s="43"/>
      <c r="AD8" s="43"/>
    </row>
    <row r="9" spans="2:30" x14ac:dyDescent="0.25">
      <c r="B9" s="175" t="s">
        <v>222</v>
      </c>
      <c r="C9" s="175" t="s">
        <v>223</v>
      </c>
      <c r="D9" s="27" t="s">
        <v>246</v>
      </c>
      <c r="E9" s="29" t="s">
        <v>226</v>
      </c>
      <c r="F9" s="4"/>
      <c r="G9" s="4"/>
      <c r="H9" s="175" t="s">
        <v>236</v>
      </c>
      <c r="I9" s="175" t="s">
        <v>237</v>
      </c>
      <c r="J9" s="4"/>
      <c r="K9" s="4"/>
      <c r="L9" s="4"/>
      <c r="M9" s="4"/>
      <c r="O9" s="39" t="s">
        <v>33</v>
      </c>
      <c r="P9" s="40" t="s">
        <v>329</v>
      </c>
      <c r="Q9" s="41">
        <v>2</v>
      </c>
      <c r="R9" s="42" t="s">
        <v>10</v>
      </c>
      <c r="S9" s="43"/>
      <c r="T9" s="43"/>
      <c r="U9" s="43"/>
      <c r="V9" s="41">
        <v>2</v>
      </c>
      <c r="W9" s="42" t="s">
        <v>7</v>
      </c>
      <c r="X9" s="41">
        <v>1</v>
      </c>
      <c r="Y9" s="42" t="s">
        <v>11</v>
      </c>
      <c r="Z9" s="43"/>
      <c r="AA9" s="43"/>
      <c r="AB9" s="43"/>
      <c r="AC9" s="43"/>
      <c r="AD9" s="43"/>
    </row>
    <row r="10" spans="2:30" x14ac:dyDescent="0.25">
      <c r="B10" s="176"/>
      <c r="C10" s="176"/>
      <c r="D10" s="206" t="s">
        <v>227</v>
      </c>
      <c r="E10" s="12" t="s">
        <v>228</v>
      </c>
      <c r="F10" s="4"/>
      <c r="G10" s="4"/>
      <c r="H10" s="177"/>
      <c r="I10" s="177"/>
      <c r="J10" s="4"/>
      <c r="K10" s="4"/>
      <c r="L10" s="4"/>
      <c r="M10" s="4"/>
      <c r="O10" s="39" t="s">
        <v>34</v>
      </c>
      <c r="P10" s="40" t="s">
        <v>329</v>
      </c>
      <c r="Q10" s="43"/>
      <c r="R10" s="43"/>
      <c r="S10" s="41">
        <v>2</v>
      </c>
      <c r="T10" s="42" t="s">
        <v>13</v>
      </c>
      <c r="U10" s="43"/>
      <c r="V10" s="41">
        <v>2</v>
      </c>
      <c r="W10" s="42" t="s">
        <v>7</v>
      </c>
      <c r="X10" s="41">
        <v>1</v>
      </c>
      <c r="Y10" s="42" t="s">
        <v>14</v>
      </c>
      <c r="Z10" s="43"/>
      <c r="AA10" s="43"/>
      <c r="AB10" s="43"/>
      <c r="AC10" s="43"/>
      <c r="AD10" s="43"/>
    </row>
    <row r="11" spans="2:30" x14ac:dyDescent="0.25">
      <c r="B11" s="176"/>
      <c r="C11" s="176"/>
      <c r="D11" s="207"/>
      <c r="E11" s="30"/>
      <c r="F11" s="4"/>
      <c r="G11" s="4"/>
      <c r="H11" s="4"/>
      <c r="I11" s="4"/>
      <c r="J11" s="4"/>
      <c r="K11" s="4"/>
      <c r="L11" s="12" t="s">
        <v>260</v>
      </c>
      <c r="M11" s="12" t="s">
        <v>266</v>
      </c>
      <c r="O11" s="39" t="s">
        <v>5</v>
      </c>
      <c r="P11" s="40" t="s">
        <v>472</v>
      </c>
      <c r="Q11" s="43"/>
      <c r="R11" s="43"/>
      <c r="S11" s="41">
        <v>2</v>
      </c>
      <c r="T11" s="42" t="s">
        <v>6</v>
      </c>
      <c r="U11" s="41">
        <v>-1</v>
      </c>
      <c r="V11" s="41">
        <v>1</v>
      </c>
      <c r="W11" s="42" t="s">
        <v>7</v>
      </c>
      <c r="X11" s="41">
        <v>1</v>
      </c>
      <c r="Y11" s="42" t="s">
        <v>8</v>
      </c>
      <c r="Z11" s="43"/>
      <c r="AA11" s="43"/>
      <c r="AB11" s="43"/>
      <c r="AC11" s="43"/>
      <c r="AD11" s="43"/>
    </row>
    <row r="12" spans="2:30" x14ac:dyDescent="0.25">
      <c r="B12" s="177"/>
      <c r="C12" s="205"/>
      <c r="D12" s="208" t="s">
        <v>512</v>
      </c>
      <c r="E12" s="208" t="s">
        <v>513</v>
      </c>
      <c r="F12" s="210" t="s">
        <v>501</v>
      </c>
      <c r="G12" s="208" t="s">
        <v>502</v>
      </c>
      <c r="H12" s="4"/>
      <c r="I12" s="4"/>
      <c r="J12" s="25"/>
      <c r="K12" s="25"/>
      <c r="L12" s="4"/>
      <c r="M12" s="4"/>
      <c r="O12" s="39" t="s">
        <v>49</v>
      </c>
      <c r="P12" s="40" t="s">
        <v>335</v>
      </c>
      <c r="Q12" s="41">
        <v>2</v>
      </c>
      <c r="R12" s="42" t="s">
        <v>25</v>
      </c>
      <c r="S12" s="41">
        <v>2</v>
      </c>
      <c r="T12" s="43"/>
      <c r="U12" s="41">
        <v>1</v>
      </c>
      <c r="V12" s="41">
        <v>5</v>
      </c>
      <c r="W12" s="42" t="s">
        <v>7</v>
      </c>
      <c r="X12" s="41">
        <v>1</v>
      </c>
      <c r="Y12" s="42" t="s">
        <v>50</v>
      </c>
      <c r="Z12" s="43"/>
      <c r="AA12" s="43"/>
      <c r="AB12" s="43"/>
      <c r="AC12" s="43"/>
      <c r="AD12" s="43"/>
    </row>
    <row r="13" spans="2:30" x14ac:dyDescent="0.25">
      <c r="B13" s="128" t="s">
        <v>238</v>
      </c>
      <c r="C13" s="129"/>
      <c r="D13" s="209"/>
      <c r="E13" s="209"/>
      <c r="F13" s="211"/>
      <c r="G13" s="209"/>
      <c r="H13" s="4"/>
      <c r="I13" s="4"/>
      <c r="J13" s="25"/>
      <c r="K13" s="25"/>
      <c r="L13" s="4"/>
      <c r="M13" s="4"/>
      <c r="O13" s="39" t="s">
        <v>51</v>
      </c>
      <c r="P13" s="40" t="s">
        <v>336</v>
      </c>
      <c r="Q13" s="41">
        <v>2</v>
      </c>
      <c r="R13" s="42" t="s">
        <v>25</v>
      </c>
      <c r="S13" s="41">
        <v>2</v>
      </c>
      <c r="T13" s="43"/>
      <c r="U13" s="41">
        <v>1</v>
      </c>
      <c r="V13" s="41">
        <v>5</v>
      </c>
      <c r="W13" s="42" t="s">
        <v>7</v>
      </c>
      <c r="X13" s="41">
        <v>1</v>
      </c>
      <c r="Y13" s="42" t="s">
        <v>50</v>
      </c>
      <c r="Z13" s="43"/>
      <c r="AA13" s="43"/>
      <c r="AB13" s="43"/>
      <c r="AC13" s="43"/>
      <c r="AD13" s="43"/>
    </row>
    <row r="14" spans="2:30" x14ac:dyDescent="0.25">
      <c r="B14" s="149"/>
      <c r="C14" s="150"/>
      <c r="D14" s="212" t="s">
        <v>514</v>
      </c>
      <c r="E14" s="213"/>
      <c r="F14" s="4"/>
      <c r="G14" s="4"/>
      <c r="H14" s="4"/>
      <c r="I14" s="4"/>
      <c r="J14" s="25"/>
      <c r="K14" s="25"/>
      <c r="L14" s="4"/>
      <c r="M14" s="4"/>
      <c r="O14" s="44" t="s">
        <v>95</v>
      </c>
      <c r="P14" s="45" t="s">
        <v>319</v>
      </c>
      <c r="Q14" s="46">
        <v>2</v>
      </c>
      <c r="R14" s="47" t="s">
        <v>10</v>
      </c>
      <c r="S14" s="48"/>
      <c r="T14" s="48"/>
      <c r="U14" s="46">
        <v>1</v>
      </c>
      <c r="V14" s="46">
        <v>3</v>
      </c>
      <c r="W14" s="48"/>
      <c r="X14" s="46">
        <v>2</v>
      </c>
      <c r="Y14" s="48"/>
      <c r="Z14" s="47" t="s">
        <v>11</v>
      </c>
      <c r="AA14" s="48"/>
      <c r="AB14" s="48"/>
      <c r="AC14" s="48"/>
      <c r="AD14" s="48"/>
    </row>
    <row r="15" spans="2:30" x14ac:dyDescent="0.25">
      <c r="B15" s="149"/>
      <c r="C15" s="150"/>
      <c r="D15" s="149" t="s">
        <v>506</v>
      </c>
      <c r="E15" s="150"/>
      <c r="F15" s="153" t="s">
        <v>534</v>
      </c>
      <c r="G15" s="153" t="s">
        <v>247</v>
      </c>
      <c r="H15" s="13" t="s">
        <v>269</v>
      </c>
      <c r="I15" s="13" t="s">
        <v>270</v>
      </c>
      <c r="J15" s="4"/>
      <c r="K15" s="4"/>
      <c r="L15" s="126" t="s">
        <v>257</v>
      </c>
      <c r="M15" s="127"/>
      <c r="O15" s="44" t="s">
        <v>96</v>
      </c>
      <c r="P15" s="45" t="s">
        <v>319</v>
      </c>
      <c r="Q15" s="48"/>
      <c r="R15" s="48"/>
      <c r="S15" s="46">
        <v>2</v>
      </c>
      <c r="T15" s="47" t="s">
        <v>13</v>
      </c>
      <c r="U15" s="48"/>
      <c r="V15" s="46">
        <v>2</v>
      </c>
      <c r="W15" s="47" t="s">
        <v>5</v>
      </c>
      <c r="X15" s="46">
        <v>2</v>
      </c>
      <c r="Y15" s="48"/>
      <c r="Z15" s="47" t="s">
        <v>14</v>
      </c>
      <c r="AA15" s="48"/>
      <c r="AB15" s="48"/>
      <c r="AC15" s="48"/>
      <c r="AD15" s="48"/>
    </row>
    <row r="16" spans="2:30" x14ac:dyDescent="0.25">
      <c r="B16" s="149"/>
      <c r="C16" s="150"/>
      <c r="D16" s="149"/>
      <c r="E16" s="150"/>
      <c r="F16" s="155"/>
      <c r="G16" s="155"/>
      <c r="H16" s="14" t="s">
        <v>253</v>
      </c>
      <c r="I16" s="14" t="s">
        <v>254</v>
      </c>
      <c r="J16" s="14" t="s">
        <v>261</v>
      </c>
      <c r="K16" s="14" t="s">
        <v>510</v>
      </c>
      <c r="L16" s="4"/>
      <c r="M16" s="4"/>
      <c r="O16" s="44" t="s">
        <v>101</v>
      </c>
      <c r="P16" s="45" t="s">
        <v>327</v>
      </c>
      <c r="Q16" s="46">
        <v>3</v>
      </c>
      <c r="R16" s="47" t="s">
        <v>10</v>
      </c>
      <c r="S16" s="48"/>
      <c r="T16" s="48"/>
      <c r="U16" s="48"/>
      <c r="V16" s="46">
        <v>3</v>
      </c>
      <c r="W16" s="48"/>
      <c r="X16" s="46">
        <v>2</v>
      </c>
      <c r="Y16" s="48"/>
      <c r="Z16" s="47" t="s">
        <v>28</v>
      </c>
      <c r="AA16" s="48"/>
      <c r="AB16" s="48"/>
      <c r="AC16" s="48"/>
      <c r="AD16" s="48"/>
    </row>
    <row r="17" spans="2:30" x14ac:dyDescent="0.25">
      <c r="B17" s="149"/>
      <c r="C17" s="150"/>
      <c r="D17" s="149"/>
      <c r="E17" s="150"/>
      <c r="F17" s="128" t="s">
        <v>503</v>
      </c>
      <c r="G17" s="129"/>
      <c r="H17" s="203" t="s">
        <v>516</v>
      </c>
      <c r="I17" s="204"/>
      <c r="J17" s="1"/>
      <c r="K17" s="1"/>
      <c r="L17" s="4"/>
      <c r="M17" s="4"/>
      <c r="O17" s="44" t="s">
        <v>102</v>
      </c>
      <c r="P17" s="45" t="s">
        <v>327</v>
      </c>
      <c r="Q17" s="48"/>
      <c r="R17" s="48"/>
      <c r="S17" s="46">
        <v>3</v>
      </c>
      <c r="T17" s="47" t="s">
        <v>13</v>
      </c>
      <c r="U17" s="48"/>
      <c r="V17" s="46">
        <v>3</v>
      </c>
      <c r="W17" s="47" t="s">
        <v>27</v>
      </c>
      <c r="X17" s="46">
        <v>2</v>
      </c>
      <c r="Y17" s="48"/>
      <c r="Z17" s="47" t="s">
        <v>30</v>
      </c>
      <c r="AA17" s="48"/>
      <c r="AB17" s="48"/>
      <c r="AC17" s="48"/>
      <c r="AD17" s="48"/>
    </row>
    <row r="18" spans="2:30" x14ac:dyDescent="0.25">
      <c r="B18" s="149"/>
      <c r="C18" s="150"/>
      <c r="D18" s="149"/>
      <c r="E18" s="150"/>
      <c r="F18" s="151"/>
      <c r="G18" s="152"/>
      <c r="H18" s="25"/>
      <c r="I18" s="25"/>
      <c r="J18" s="203" t="s">
        <v>507</v>
      </c>
      <c r="K18" s="204"/>
      <c r="L18" s="203" t="s">
        <v>518</v>
      </c>
      <c r="M18" s="204"/>
      <c r="O18" s="44" t="s">
        <v>108</v>
      </c>
      <c r="P18" s="45" t="s">
        <v>333</v>
      </c>
      <c r="Q18" s="46">
        <v>2</v>
      </c>
      <c r="R18" s="47" t="s">
        <v>10</v>
      </c>
      <c r="S18" s="48"/>
      <c r="T18" s="48"/>
      <c r="U18" s="48"/>
      <c r="V18" s="46">
        <v>2</v>
      </c>
      <c r="W18" s="48"/>
      <c r="X18" s="46">
        <v>2</v>
      </c>
      <c r="Y18" s="48"/>
      <c r="Z18" s="47" t="s">
        <v>11</v>
      </c>
      <c r="AA18" s="48"/>
      <c r="AB18" s="48"/>
      <c r="AC18" s="48"/>
      <c r="AD18" s="48"/>
    </row>
    <row r="19" spans="2:30" x14ac:dyDescent="0.25">
      <c r="B19" s="149"/>
      <c r="C19" s="150"/>
      <c r="D19" s="149"/>
      <c r="E19" s="150"/>
      <c r="F19" s="145" t="s">
        <v>504</v>
      </c>
      <c r="G19" s="146"/>
      <c r="H19" s="4"/>
      <c r="I19" s="4"/>
      <c r="J19" s="4"/>
      <c r="K19" s="4"/>
      <c r="L19" s="4"/>
      <c r="M19" s="4"/>
      <c r="O19" s="44" t="s">
        <v>109</v>
      </c>
      <c r="P19" s="45" t="s">
        <v>333</v>
      </c>
      <c r="Q19" s="48"/>
      <c r="R19" s="48"/>
      <c r="S19" s="46">
        <v>2</v>
      </c>
      <c r="T19" s="47" t="s">
        <v>13</v>
      </c>
      <c r="U19" s="48"/>
      <c r="V19" s="46">
        <v>2</v>
      </c>
      <c r="W19" s="47" t="s">
        <v>110</v>
      </c>
      <c r="X19" s="46">
        <v>2</v>
      </c>
      <c r="Y19" s="48"/>
      <c r="Z19" s="47" t="s">
        <v>14</v>
      </c>
      <c r="AA19" s="48"/>
      <c r="AB19" s="48"/>
      <c r="AC19" s="48"/>
      <c r="AD19" s="48"/>
    </row>
    <row r="20" spans="2:30" x14ac:dyDescent="0.25">
      <c r="B20" s="149"/>
      <c r="C20" s="150"/>
      <c r="D20" s="149"/>
      <c r="E20" s="150"/>
      <c r="F20" s="25"/>
      <c r="G20" s="25"/>
      <c r="H20" s="147" t="s">
        <v>517</v>
      </c>
      <c r="I20" s="148"/>
      <c r="J20" s="4"/>
      <c r="K20" s="4"/>
      <c r="L20" s="25"/>
      <c r="M20" s="25"/>
      <c r="O20" s="44" t="s">
        <v>111</v>
      </c>
      <c r="P20" s="45" t="s">
        <v>483</v>
      </c>
      <c r="Q20" s="46">
        <v>2</v>
      </c>
      <c r="R20" s="47" t="s">
        <v>25</v>
      </c>
      <c r="S20" s="46">
        <v>2</v>
      </c>
      <c r="T20" s="48"/>
      <c r="U20" s="46">
        <v>1</v>
      </c>
      <c r="V20" s="46">
        <v>5</v>
      </c>
      <c r="W20" s="47" t="s">
        <v>49</v>
      </c>
      <c r="X20" s="46">
        <v>2</v>
      </c>
      <c r="Y20" s="48"/>
      <c r="Z20" s="47" t="s">
        <v>50</v>
      </c>
      <c r="AA20" s="48"/>
      <c r="AB20" s="48"/>
      <c r="AC20" s="48"/>
      <c r="AD20" s="48"/>
    </row>
    <row r="21" spans="2:30" x14ac:dyDescent="0.25">
      <c r="B21" s="149"/>
      <c r="C21" s="150"/>
      <c r="D21" s="149"/>
      <c r="E21" s="150"/>
      <c r="F21" s="181" t="s">
        <v>255</v>
      </c>
      <c r="G21" s="182"/>
      <c r="H21" s="4"/>
      <c r="I21" s="4"/>
      <c r="J21" s="15" t="s">
        <v>511</v>
      </c>
      <c r="K21" s="15" t="s">
        <v>509</v>
      </c>
      <c r="L21" s="1"/>
      <c r="M21" s="1"/>
      <c r="O21" s="44" t="s">
        <v>93</v>
      </c>
      <c r="P21" s="45" t="s">
        <v>82</v>
      </c>
      <c r="Q21" s="46">
        <v>2</v>
      </c>
      <c r="R21" s="47" t="s">
        <v>25</v>
      </c>
      <c r="S21" s="46">
        <v>2</v>
      </c>
      <c r="T21" s="48"/>
      <c r="U21" s="46">
        <v>1</v>
      </c>
      <c r="V21" s="46">
        <v>5</v>
      </c>
      <c r="W21" s="47" t="s">
        <v>121</v>
      </c>
      <c r="X21" s="46">
        <v>2</v>
      </c>
      <c r="Y21" s="48"/>
      <c r="Z21" s="47" t="s">
        <v>50</v>
      </c>
      <c r="AA21" s="48"/>
      <c r="AB21" s="48"/>
      <c r="AC21" s="48"/>
      <c r="AD21" s="48"/>
    </row>
    <row r="22" spans="2:30" x14ac:dyDescent="0.25">
      <c r="B22" s="149"/>
      <c r="C22" s="150"/>
      <c r="D22" s="149"/>
      <c r="E22" s="150"/>
      <c r="F22" s="183"/>
      <c r="G22" s="184"/>
      <c r="H22" s="4"/>
      <c r="I22" s="4"/>
      <c r="J22" s="31" t="s">
        <v>263</v>
      </c>
      <c r="K22" s="31" t="s">
        <v>267</v>
      </c>
      <c r="L22" s="32"/>
      <c r="M22" s="32"/>
      <c r="O22" s="44" t="s">
        <v>120</v>
      </c>
      <c r="P22" s="45" t="s">
        <v>484</v>
      </c>
      <c r="Q22" s="46">
        <v>2</v>
      </c>
      <c r="R22" s="47" t="s">
        <v>10</v>
      </c>
      <c r="S22" s="48"/>
      <c r="T22" s="48"/>
      <c r="U22" s="48"/>
      <c r="V22" s="46">
        <v>2</v>
      </c>
      <c r="W22" s="48"/>
      <c r="X22" s="46">
        <v>2</v>
      </c>
      <c r="Y22" s="48"/>
      <c r="Z22" s="47" t="s">
        <v>11</v>
      </c>
      <c r="AA22" s="48"/>
      <c r="AB22" s="48"/>
      <c r="AC22" s="48"/>
      <c r="AD22" s="48"/>
    </row>
    <row r="23" spans="2:30" x14ac:dyDescent="0.25">
      <c r="B23" s="151"/>
      <c r="C23" s="152"/>
      <c r="D23" s="151"/>
      <c r="E23" s="152"/>
      <c r="F23" s="185"/>
      <c r="G23" s="186"/>
      <c r="H23" s="4"/>
      <c r="I23" s="4"/>
      <c r="J23" s="187" t="s">
        <v>264</v>
      </c>
      <c r="K23" s="188"/>
      <c r="L23" s="4"/>
      <c r="M23" s="4"/>
      <c r="O23" s="44" t="s">
        <v>210</v>
      </c>
      <c r="P23" s="45" t="s">
        <v>484</v>
      </c>
      <c r="Q23" s="48"/>
      <c r="R23" s="48"/>
      <c r="S23" s="46">
        <v>1</v>
      </c>
      <c r="T23" s="47" t="s">
        <v>13</v>
      </c>
      <c r="U23" s="46">
        <v>1</v>
      </c>
      <c r="V23" s="46">
        <v>2</v>
      </c>
      <c r="W23" s="47" t="s">
        <v>121</v>
      </c>
      <c r="X23" s="46">
        <v>2</v>
      </c>
      <c r="Y23" s="48"/>
      <c r="Z23" s="47" t="s">
        <v>124</v>
      </c>
      <c r="AA23" s="48"/>
      <c r="AB23" s="48"/>
      <c r="AC23" s="48"/>
      <c r="AD23" s="48"/>
    </row>
    <row r="24" spans="2:30" x14ac:dyDescent="0.25">
      <c r="B24" s="199" t="s">
        <v>239</v>
      </c>
      <c r="C24" s="200"/>
      <c r="D24" s="4"/>
      <c r="E24" s="4"/>
      <c r="F24" s="4"/>
      <c r="G24" s="4"/>
      <c r="H24" s="4"/>
      <c r="I24" s="4"/>
      <c r="J24" s="191"/>
      <c r="K24" s="192"/>
      <c r="L24" s="4"/>
      <c r="M24" s="4"/>
      <c r="O24" s="39" t="s">
        <v>88</v>
      </c>
      <c r="P24" s="40" t="s">
        <v>322</v>
      </c>
      <c r="Q24" s="41">
        <v>2</v>
      </c>
      <c r="R24" s="42" t="s">
        <v>10</v>
      </c>
      <c r="S24" s="43"/>
      <c r="T24" s="43"/>
      <c r="U24" s="43"/>
      <c r="V24" s="41">
        <v>2</v>
      </c>
      <c r="W24" s="43"/>
      <c r="X24" s="41">
        <v>3</v>
      </c>
      <c r="Y24" s="43"/>
      <c r="Z24" s="43"/>
      <c r="AA24" s="42" t="s">
        <v>11</v>
      </c>
      <c r="AB24" s="43"/>
      <c r="AC24" s="43"/>
      <c r="AD24" s="43"/>
    </row>
    <row r="25" spans="2:30" x14ac:dyDescent="0.25">
      <c r="B25" s="201" t="s">
        <v>240</v>
      </c>
      <c r="C25" s="202"/>
      <c r="D25" s="4"/>
      <c r="E25" s="4"/>
      <c r="F25" s="4"/>
      <c r="G25" s="4"/>
      <c r="H25" s="4"/>
      <c r="I25" s="4"/>
      <c r="J25" s="4"/>
      <c r="K25" s="4"/>
      <c r="L25" s="4"/>
      <c r="M25" s="4"/>
      <c r="O25" s="39" t="s">
        <v>92</v>
      </c>
      <c r="P25" s="40" t="s">
        <v>322</v>
      </c>
      <c r="Q25" s="43"/>
      <c r="R25" s="43"/>
      <c r="S25" s="41">
        <v>2</v>
      </c>
      <c r="T25" s="42" t="s">
        <v>13</v>
      </c>
      <c r="U25" s="43"/>
      <c r="V25" s="41">
        <v>2</v>
      </c>
      <c r="W25" s="42" t="s">
        <v>93</v>
      </c>
      <c r="X25" s="41">
        <v>3</v>
      </c>
      <c r="Y25" s="43"/>
      <c r="Z25" s="43"/>
      <c r="AA25" s="42" t="s">
        <v>14</v>
      </c>
      <c r="AB25" s="43"/>
      <c r="AC25" s="43"/>
      <c r="AD25" s="43"/>
    </row>
    <row r="26" spans="2:30" x14ac:dyDescent="0.25">
      <c r="B26" s="140" t="s">
        <v>241</v>
      </c>
      <c r="C26" s="141"/>
      <c r="D26" s="4"/>
      <c r="E26" s="4"/>
      <c r="F26" s="25"/>
      <c r="G26" s="25"/>
      <c r="H26" s="25"/>
      <c r="I26" s="25"/>
      <c r="J26" s="25"/>
      <c r="K26" s="23"/>
      <c r="L26" s="23"/>
      <c r="M26" s="23"/>
      <c r="O26" s="39" t="s">
        <v>97</v>
      </c>
      <c r="P26" s="40" t="s">
        <v>320</v>
      </c>
      <c r="Q26" s="41">
        <v>2</v>
      </c>
      <c r="R26" s="42" t="s">
        <v>10</v>
      </c>
      <c r="S26" s="43"/>
      <c r="T26" s="43"/>
      <c r="U26" s="41">
        <v>1</v>
      </c>
      <c r="V26" s="41">
        <v>3</v>
      </c>
      <c r="W26" s="43"/>
      <c r="X26" s="41">
        <v>3</v>
      </c>
      <c r="Y26" s="43"/>
      <c r="Z26" s="43"/>
      <c r="AA26" s="42" t="s">
        <v>11</v>
      </c>
      <c r="AB26" s="43"/>
      <c r="AC26" s="43"/>
      <c r="AD26" s="43"/>
    </row>
    <row r="27" spans="2:30" x14ac:dyDescent="0.25">
      <c r="B27" s="197" t="s">
        <v>547</v>
      </c>
      <c r="C27" s="198"/>
      <c r="D27" s="1"/>
      <c r="E27" s="1"/>
      <c r="F27" s="25"/>
      <c r="G27" s="25"/>
      <c r="H27" s="24"/>
      <c r="I27" s="25"/>
      <c r="J27" s="23"/>
      <c r="K27" s="25"/>
      <c r="L27" s="25"/>
      <c r="M27" s="25"/>
      <c r="O27" s="39" t="s">
        <v>98</v>
      </c>
      <c r="P27" s="40" t="s">
        <v>320</v>
      </c>
      <c r="Q27" s="43"/>
      <c r="R27" s="43"/>
      <c r="S27" s="41">
        <v>2</v>
      </c>
      <c r="T27" s="42" t="s">
        <v>13</v>
      </c>
      <c r="U27" s="43"/>
      <c r="V27" s="41">
        <v>2</v>
      </c>
      <c r="W27" s="42" t="s">
        <v>95</v>
      </c>
      <c r="X27" s="41">
        <v>3</v>
      </c>
      <c r="Y27" s="43"/>
      <c r="Z27" s="43"/>
      <c r="AA27" s="42" t="s">
        <v>14</v>
      </c>
      <c r="AB27" s="43"/>
      <c r="AC27" s="43"/>
      <c r="AD27" s="43"/>
    </row>
    <row r="28" spans="2:30" x14ac:dyDescent="0.25">
      <c r="B28" s="23"/>
      <c r="C28" s="25"/>
      <c r="D28" s="25"/>
      <c r="E28" s="25"/>
      <c r="F28" s="25"/>
      <c r="G28" s="25"/>
      <c r="H28" s="24"/>
      <c r="I28" s="25"/>
      <c r="J28" s="35"/>
      <c r="K28" s="25"/>
      <c r="L28" s="25"/>
      <c r="M28" s="25"/>
      <c r="O28" s="39" t="s">
        <v>116</v>
      </c>
      <c r="P28" s="40" t="s">
        <v>323</v>
      </c>
      <c r="Q28" s="41">
        <v>2</v>
      </c>
      <c r="R28" s="42" t="s">
        <v>10</v>
      </c>
      <c r="S28" s="43"/>
      <c r="T28" s="43"/>
      <c r="U28" s="41">
        <v>1</v>
      </c>
      <c r="V28" s="41">
        <v>3</v>
      </c>
      <c r="W28" s="43"/>
      <c r="X28" s="41">
        <v>3</v>
      </c>
      <c r="Y28" s="43"/>
      <c r="Z28" s="43"/>
      <c r="AA28" s="42" t="s">
        <v>11</v>
      </c>
      <c r="AB28" s="43"/>
      <c r="AC28" s="43"/>
      <c r="AD28" s="43"/>
    </row>
    <row r="29" spans="2:30" x14ac:dyDescent="0.25">
      <c r="B29" s="142">
        <f>SUM(V3:V13)</f>
        <v>27</v>
      </c>
      <c r="C29" s="143"/>
      <c r="D29" s="144">
        <f>SUM(V14:V23)</f>
        <v>29</v>
      </c>
      <c r="E29" s="120"/>
      <c r="F29" s="144">
        <f>SUM(V24:V34)+1</f>
        <v>30</v>
      </c>
      <c r="G29" s="120"/>
      <c r="H29" s="144">
        <f>SUM(V35:V44)</f>
        <v>28</v>
      </c>
      <c r="I29" s="120"/>
      <c r="J29" s="144">
        <f>SUM(V45:V55)</f>
        <v>28</v>
      </c>
      <c r="K29" s="120"/>
      <c r="L29" s="144">
        <f>SUM(V56:V59)</f>
        <v>10</v>
      </c>
      <c r="M29" s="144"/>
      <c r="O29" s="39" t="s">
        <v>211</v>
      </c>
      <c r="P29" s="40" t="s">
        <v>323</v>
      </c>
      <c r="Q29" s="43"/>
      <c r="R29" s="43"/>
      <c r="S29" s="41">
        <v>2</v>
      </c>
      <c r="T29" s="42" t="s">
        <v>13</v>
      </c>
      <c r="U29" s="43"/>
      <c r="V29" s="41">
        <v>2</v>
      </c>
      <c r="W29" s="42" t="s">
        <v>117</v>
      </c>
      <c r="X29" s="41">
        <v>3</v>
      </c>
      <c r="Y29" s="43"/>
      <c r="Z29" s="43"/>
      <c r="AA29" s="42" t="s">
        <v>14</v>
      </c>
      <c r="AB29" s="43"/>
      <c r="AC29" s="43"/>
      <c r="AD29" s="43"/>
    </row>
    <row r="30" spans="2:30" x14ac:dyDescent="0.25">
      <c r="O30" s="39" t="s">
        <v>104</v>
      </c>
      <c r="P30" s="40" t="s">
        <v>485</v>
      </c>
      <c r="Q30" s="41">
        <v>1</v>
      </c>
      <c r="R30" s="43"/>
      <c r="S30" s="41">
        <v>1</v>
      </c>
      <c r="T30" s="42" t="s">
        <v>13</v>
      </c>
      <c r="U30" s="43"/>
      <c r="V30" s="41">
        <v>2</v>
      </c>
      <c r="W30" s="42" t="s">
        <v>93</v>
      </c>
      <c r="X30" s="41">
        <v>3</v>
      </c>
      <c r="Y30" s="43"/>
      <c r="Z30" s="43"/>
      <c r="AA30" s="42" t="s">
        <v>58</v>
      </c>
      <c r="AB30" s="43"/>
      <c r="AC30" s="43"/>
      <c r="AD30" s="43"/>
    </row>
    <row r="31" spans="2:30" x14ac:dyDescent="0.25">
      <c r="B31" s="172" t="s">
        <v>456</v>
      </c>
      <c r="C31" s="172"/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O31" s="39" t="s">
        <v>122</v>
      </c>
      <c r="P31" s="40" t="s">
        <v>486</v>
      </c>
      <c r="Q31" s="41">
        <v>2</v>
      </c>
      <c r="R31" s="42" t="s">
        <v>10</v>
      </c>
      <c r="S31" s="43"/>
      <c r="T31" s="43"/>
      <c r="U31" s="43"/>
      <c r="V31" s="41">
        <v>2</v>
      </c>
      <c r="W31" s="43"/>
      <c r="X31" s="41">
        <v>3</v>
      </c>
      <c r="Y31" s="43"/>
      <c r="Z31" s="43"/>
      <c r="AA31" s="42" t="s">
        <v>11</v>
      </c>
      <c r="AB31" s="43"/>
      <c r="AC31" s="43"/>
      <c r="AD31" s="43"/>
    </row>
    <row r="32" spans="2:30" x14ac:dyDescent="0.25">
      <c r="B32" s="172" t="s">
        <v>459</v>
      </c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O32" s="39" t="s">
        <v>123</v>
      </c>
      <c r="P32" s="40" t="s">
        <v>486</v>
      </c>
      <c r="Q32" s="43"/>
      <c r="R32" s="43"/>
      <c r="S32" s="41">
        <v>1</v>
      </c>
      <c r="T32" s="42" t="s">
        <v>13</v>
      </c>
      <c r="U32" s="41">
        <v>1</v>
      </c>
      <c r="V32" s="41">
        <v>2</v>
      </c>
      <c r="W32" s="42" t="s">
        <v>120</v>
      </c>
      <c r="X32" s="41">
        <v>3</v>
      </c>
      <c r="Y32" s="43"/>
      <c r="Z32" s="43"/>
      <c r="AA32" s="42" t="s">
        <v>124</v>
      </c>
      <c r="AB32" s="43"/>
      <c r="AC32" s="43"/>
      <c r="AD32" s="43"/>
    </row>
    <row r="33" spans="2:30" x14ac:dyDescent="0.25">
      <c r="B33" s="172" t="s">
        <v>460</v>
      </c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O33" s="39" t="s">
        <v>126</v>
      </c>
      <c r="P33" s="40" t="s">
        <v>337</v>
      </c>
      <c r="Q33" s="41">
        <v>2</v>
      </c>
      <c r="R33" s="42" t="s">
        <v>25</v>
      </c>
      <c r="S33" s="41">
        <v>2</v>
      </c>
      <c r="T33" s="43"/>
      <c r="U33" s="41">
        <v>1</v>
      </c>
      <c r="V33" s="41">
        <v>5</v>
      </c>
      <c r="W33" s="42" t="s">
        <v>93</v>
      </c>
      <c r="X33" s="41">
        <v>3</v>
      </c>
      <c r="Y33" s="43"/>
      <c r="Z33" s="43"/>
      <c r="AA33" s="42" t="s">
        <v>50</v>
      </c>
      <c r="AB33" s="43"/>
      <c r="AC33" s="43"/>
      <c r="AD33" s="43"/>
    </row>
    <row r="34" spans="2:30" x14ac:dyDescent="0.25">
      <c r="B34" s="172" t="s">
        <v>465</v>
      </c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O34" s="39" t="s">
        <v>129</v>
      </c>
      <c r="P34" s="40" t="s">
        <v>487</v>
      </c>
      <c r="Q34" s="41">
        <v>2</v>
      </c>
      <c r="R34" s="42" t="s">
        <v>25</v>
      </c>
      <c r="S34" s="41">
        <v>1</v>
      </c>
      <c r="T34" s="43"/>
      <c r="U34" s="41">
        <v>1</v>
      </c>
      <c r="V34" s="41">
        <v>4</v>
      </c>
      <c r="W34" s="42" t="s">
        <v>93</v>
      </c>
      <c r="X34" s="41">
        <v>3</v>
      </c>
      <c r="Y34" s="43"/>
      <c r="Z34" s="43"/>
      <c r="AA34" s="42" t="s">
        <v>55</v>
      </c>
      <c r="AB34" s="43"/>
      <c r="AC34" s="43"/>
      <c r="AD34" s="43"/>
    </row>
    <row r="35" spans="2:30" x14ac:dyDescent="0.25">
      <c r="B35" s="172" t="s">
        <v>457</v>
      </c>
      <c r="C35" s="172"/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O35" s="44" t="s">
        <v>86</v>
      </c>
      <c r="P35" s="45" t="s">
        <v>344</v>
      </c>
      <c r="Q35" s="46">
        <v>2</v>
      </c>
      <c r="R35" s="47" t="s">
        <v>10</v>
      </c>
      <c r="S35" s="48"/>
      <c r="T35" s="48"/>
      <c r="U35" s="46">
        <v>1</v>
      </c>
      <c r="V35" s="46">
        <v>3</v>
      </c>
      <c r="W35" s="48"/>
      <c r="X35" s="46">
        <v>4</v>
      </c>
      <c r="Y35" s="48"/>
      <c r="Z35" s="48"/>
      <c r="AA35" s="48"/>
      <c r="AB35" s="47" t="s">
        <v>11</v>
      </c>
      <c r="AC35" s="48"/>
      <c r="AD35" s="48"/>
    </row>
    <row r="36" spans="2:30" x14ac:dyDescent="0.25">
      <c r="B36" s="172" t="s">
        <v>458</v>
      </c>
      <c r="C36" s="172"/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O36" s="44" t="s">
        <v>87</v>
      </c>
      <c r="P36" s="45" t="s">
        <v>344</v>
      </c>
      <c r="Q36" s="48"/>
      <c r="R36" s="48"/>
      <c r="S36" s="46">
        <v>2</v>
      </c>
      <c r="T36" s="47" t="s">
        <v>13</v>
      </c>
      <c r="U36" s="48"/>
      <c r="V36" s="46">
        <v>2</v>
      </c>
      <c r="W36" s="47" t="s">
        <v>88</v>
      </c>
      <c r="X36" s="46">
        <v>4</v>
      </c>
      <c r="Y36" s="48"/>
      <c r="Z36" s="48"/>
      <c r="AA36" s="48"/>
      <c r="AB36" s="47" t="s">
        <v>14</v>
      </c>
      <c r="AC36" s="48"/>
      <c r="AD36" s="48"/>
    </row>
    <row r="37" spans="2:30" x14ac:dyDescent="0.25">
      <c r="B37" s="172" t="s">
        <v>461</v>
      </c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O37" s="44" t="s">
        <v>91</v>
      </c>
      <c r="P37" s="45" t="s">
        <v>332</v>
      </c>
      <c r="Q37" s="46">
        <v>2</v>
      </c>
      <c r="R37" s="47" t="s">
        <v>10</v>
      </c>
      <c r="S37" s="48"/>
      <c r="T37" s="48"/>
      <c r="U37" s="46">
        <v>1</v>
      </c>
      <c r="V37" s="46">
        <v>3</v>
      </c>
      <c r="W37" s="48"/>
      <c r="X37" s="46">
        <v>4</v>
      </c>
      <c r="Y37" s="48"/>
      <c r="Z37" s="48"/>
      <c r="AA37" s="48"/>
      <c r="AB37" s="47" t="s">
        <v>11</v>
      </c>
      <c r="AC37" s="48"/>
      <c r="AD37" s="48"/>
    </row>
    <row r="38" spans="2:30" x14ac:dyDescent="0.25">
      <c r="B38" s="172" t="s">
        <v>463</v>
      </c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O38" s="44" t="s">
        <v>94</v>
      </c>
      <c r="P38" s="45" t="s">
        <v>332</v>
      </c>
      <c r="Q38" s="48"/>
      <c r="R38" s="48"/>
      <c r="S38" s="46">
        <v>2</v>
      </c>
      <c r="T38" s="47" t="s">
        <v>13</v>
      </c>
      <c r="U38" s="48"/>
      <c r="V38" s="46">
        <v>2</v>
      </c>
      <c r="W38" s="47" t="s">
        <v>88</v>
      </c>
      <c r="X38" s="46">
        <v>4</v>
      </c>
      <c r="Y38" s="48"/>
      <c r="Z38" s="48"/>
      <c r="AA38" s="48"/>
      <c r="AB38" s="47" t="s">
        <v>14</v>
      </c>
      <c r="AC38" s="48"/>
      <c r="AD38" s="48"/>
    </row>
    <row r="39" spans="2:30" x14ac:dyDescent="0.25">
      <c r="B39" s="193" t="s">
        <v>464</v>
      </c>
      <c r="C39" s="193"/>
      <c r="D39" s="193"/>
      <c r="E39" s="193"/>
      <c r="F39" s="193"/>
      <c r="G39" s="193"/>
      <c r="H39" s="193"/>
      <c r="I39" s="193"/>
      <c r="J39" s="193"/>
      <c r="K39" s="193"/>
      <c r="L39" s="193"/>
      <c r="M39" s="193"/>
      <c r="O39" s="44" t="s">
        <v>99</v>
      </c>
      <c r="P39" s="45" t="s">
        <v>321</v>
      </c>
      <c r="Q39" s="46">
        <v>1</v>
      </c>
      <c r="R39" s="47" t="s">
        <v>25</v>
      </c>
      <c r="S39" s="46">
        <v>2</v>
      </c>
      <c r="T39" s="48"/>
      <c r="U39" s="46">
        <v>1</v>
      </c>
      <c r="V39" s="46">
        <v>4</v>
      </c>
      <c r="W39" s="47" t="s">
        <v>100</v>
      </c>
      <c r="X39" s="46">
        <v>4</v>
      </c>
      <c r="Y39" s="48"/>
      <c r="Z39" s="48"/>
      <c r="AA39" s="48"/>
      <c r="AB39" s="47" t="s">
        <v>26</v>
      </c>
      <c r="AC39" s="48"/>
      <c r="AD39" s="48"/>
    </row>
    <row r="40" spans="2:30" x14ac:dyDescent="0.25">
      <c r="B40" s="193"/>
      <c r="C40" s="193"/>
      <c r="D40" s="193"/>
      <c r="E40" s="193"/>
      <c r="F40" s="193"/>
      <c r="G40" s="193"/>
      <c r="H40" s="193"/>
      <c r="I40" s="193"/>
      <c r="J40" s="193"/>
      <c r="K40" s="193"/>
      <c r="L40" s="193"/>
      <c r="M40" s="193"/>
      <c r="O40" s="44" t="s">
        <v>103</v>
      </c>
      <c r="P40" s="45" t="s">
        <v>488</v>
      </c>
      <c r="Q40" s="46">
        <v>1</v>
      </c>
      <c r="R40" s="48"/>
      <c r="S40" s="46">
        <v>1</v>
      </c>
      <c r="T40" s="47" t="s">
        <v>13</v>
      </c>
      <c r="U40" s="48"/>
      <c r="V40" s="46">
        <v>2</v>
      </c>
      <c r="W40" s="47" t="s">
        <v>104</v>
      </c>
      <c r="X40" s="46">
        <v>4</v>
      </c>
      <c r="Y40" s="48"/>
      <c r="Z40" s="48"/>
      <c r="AA40" s="48"/>
      <c r="AB40" s="47" t="s">
        <v>58</v>
      </c>
      <c r="AC40" s="48"/>
      <c r="AD40" s="48"/>
    </row>
    <row r="41" spans="2:30" x14ac:dyDescent="0.25">
      <c r="B41" s="172" t="s">
        <v>462</v>
      </c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O41" s="44" t="s">
        <v>112</v>
      </c>
      <c r="P41" s="45" t="s">
        <v>331</v>
      </c>
      <c r="Q41" s="46">
        <v>2</v>
      </c>
      <c r="R41" s="47" t="s">
        <v>10</v>
      </c>
      <c r="S41" s="48"/>
      <c r="T41" s="48"/>
      <c r="U41" s="48"/>
      <c r="V41" s="46">
        <v>2</v>
      </c>
      <c r="W41" s="48"/>
      <c r="X41" s="46">
        <v>4</v>
      </c>
      <c r="Y41" s="48"/>
      <c r="Z41" s="48"/>
      <c r="AA41" s="48"/>
      <c r="AB41" s="47" t="s">
        <v>11</v>
      </c>
      <c r="AC41" s="48"/>
      <c r="AD41" s="48"/>
    </row>
    <row r="42" spans="2:30" x14ac:dyDescent="0.25">
      <c r="B42" s="172" t="s">
        <v>535</v>
      </c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O42" s="44" t="s">
        <v>212</v>
      </c>
      <c r="P42" s="45" t="s">
        <v>331</v>
      </c>
      <c r="Q42" s="48"/>
      <c r="R42" s="48"/>
      <c r="S42" s="46">
        <v>2</v>
      </c>
      <c r="T42" s="47" t="s">
        <v>13</v>
      </c>
      <c r="U42" s="48"/>
      <c r="V42" s="46">
        <v>2</v>
      </c>
      <c r="W42" s="47" t="s">
        <v>113</v>
      </c>
      <c r="X42" s="46">
        <v>4</v>
      </c>
      <c r="Y42" s="48"/>
      <c r="Z42" s="48"/>
      <c r="AA42" s="48"/>
      <c r="AB42" s="47" t="s">
        <v>14</v>
      </c>
      <c r="AC42" s="48"/>
      <c r="AD42" s="48"/>
    </row>
    <row r="43" spans="2:30" x14ac:dyDescent="0.25">
      <c r="O43" s="44" t="s">
        <v>118</v>
      </c>
      <c r="P43" s="45" t="s">
        <v>324</v>
      </c>
      <c r="Q43" s="46">
        <v>1</v>
      </c>
      <c r="R43" s="47" t="s">
        <v>25</v>
      </c>
      <c r="S43" s="46">
        <v>2</v>
      </c>
      <c r="T43" s="48"/>
      <c r="U43" s="48"/>
      <c r="V43" s="46">
        <v>3</v>
      </c>
      <c r="W43" s="47" t="s">
        <v>116</v>
      </c>
      <c r="X43" s="46">
        <v>4</v>
      </c>
      <c r="Y43" s="48"/>
      <c r="Z43" s="48"/>
      <c r="AA43" s="48"/>
      <c r="AB43" s="47" t="s">
        <v>26</v>
      </c>
      <c r="AC43" s="48"/>
      <c r="AD43" s="48"/>
    </row>
    <row r="44" spans="2:30" x14ac:dyDescent="0.25">
      <c r="O44" s="44" t="s">
        <v>125</v>
      </c>
      <c r="P44" s="45" t="s">
        <v>489</v>
      </c>
      <c r="Q44" s="46">
        <v>2</v>
      </c>
      <c r="R44" s="47" t="s">
        <v>25</v>
      </c>
      <c r="S44" s="46">
        <v>2</v>
      </c>
      <c r="T44" s="48"/>
      <c r="U44" s="46">
        <v>1</v>
      </c>
      <c r="V44" s="46">
        <v>5</v>
      </c>
      <c r="W44" s="47" t="s">
        <v>93</v>
      </c>
      <c r="X44" s="46">
        <v>4</v>
      </c>
      <c r="Y44" s="48"/>
      <c r="Z44" s="48"/>
      <c r="AA44" s="48"/>
      <c r="AB44" s="47" t="s">
        <v>50</v>
      </c>
      <c r="AC44" s="48"/>
      <c r="AD44" s="48"/>
    </row>
    <row r="45" spans="2:30" x14ac:dyDescent="0.25">
      <c r="O45" s="39" t="s">
        <v>89</v>
      </c>
      <c r="P45" s="40" t="s">
        <v>345</v>
      </c>
      <c r="Q45" s="41">
        <v>2</v>
      </c>
      <c r="R45" s="42" t="s">
        <v>10</v>
      </c>
      <c r="S45" s="43"/>
      <c r="T45" s="43"/>
      <c r="U45" s="43"/>
      <c r="V45" s="41">
        <v>2</v>
      </c>
      <c r="W45" s="43"/>
      <c r="X45" s="41">
        <v>5</v>
      </c>
      <c r="Y45" s="43"/>
      <c r="Z45" s="43"/>
      <c r="AA45" s="43"/>
      <c r="AB45" s="43"/>
      <c r="AC45" s="42" t="s">
        <v>11</v>
      </c>
      <c r="AD45" s="43"/>
    </row>
    <row r="46" spans="2:30" x14ac:dyDescent="0.25">
      <c r="O46" s="39" t="s">
        <v>90</v>
      </c>
      <c r="P46" s="40" t="s">
        <v>345</v>
      </c>
      <c r="Q46" s="43"/>
      <c r="R46" s="43"/>
      <c r="S46" s="41">
        <v>2</v>
      </c>
      <c r="T46" s="42" t="s">
        <v>13</v>
      </c>
      <c r="U46" s="43"/>
      <c r="V46" s="41">
        <v>2</v>
      </c>
      <c r="W46" s="42" t="s">
        <v>86</v>
      </c>
      <c r="X46" s="41">
        <v>5</v>
      </c>
      <c r="Y46" s="43"/>
      <c r="Z46" s="43"/>
      <c r="AA46" s="43"/>
      <c r="AB46" s="43"/>
      <c r="AC46" s="42" t="s">
        <v>14</v>
      </c>
      <c r="AD46" s="43"/>
    </row>
    <row r="47" spans="2:30" x14ac:dyDescent="0.25">
      <c r="O47" s="39" t="s">
        <v>105</v>
      </c>
      <c r="P47" s="40" t="s">
        <v>490</v>
      </c>
      <c r="Q47" s="41">
        <v>1</v>
      </c>
      <c r="R47" s="43"/>
      <c r="S47" s="41">
        <v>1</v>
      </c>
      <c r="T47" s="42" t="s">
        <v>13</v>
      </c>
      <c r="U47" s="43"/>
      <c r="V47" s="41">
        <v>2</v>
      </c>
      <c r="W47" s="42" t="s">
        <v>104</v>
      </c>
      <c r="X47" s="41">
        <v>5</v>
      </c>
      <c r="Y47" s="43"/>
      <c r="Z47" s="43"/>
      <c r="AA47" s="43"/>
      <c r="AB47" s="43"/>
      <c r="AC47" s="42" t="s">
        <v>58</v>
      </c>
      <c r="AD47" s="43"/>
    </row>
    <row r="48" spans="2:30" x14ac:dyDescent="0.25">
      <c r="O48" s="39" t="s">
        <v>115</v>
      </c>
      <c r="P48" s="40" t="s">
        <v>325</v>
      </c>
      <c r="Q48" s="41">
        <v>1</v>
      </c>
      <c r="R48" s="42" t="s">
        <v>25</v>
      </c>
      <c r="S48" s="41">
        <v>2</v>
      </c>
      <c r="T48" s="43"/>
      <c r="U48" s="41">
        <v>1</v>
      </c>
      <c r="V48" s="41">
        <v>4</v>
      </c>
      <c r="W48" s="42" t="s">
        <v>99</v>
      </c>
      <c r="X48" s="41">
        <v>5</v>
      </c>
      <c r="Y48" s="43"/>
      <c r="Z48" s="43"/>
      <c r="AA48" s="43"/>
      <c r="AB48" s="43"/>
      <c r="AC48" s="42" t="s">
        <v>26</v>
      </c>
      <c r="AD48" s="43"/>
    </row>
    <row r="49" spans="15:30" x14ac:dyDescent="0.25">
      <c r="O49" s="39" t="s">
        <v>213</v>
      </c>
      <c r="P49" s="40" t="s">
        <v>341</v>
      </c>
      <c r="Q49" s="41">
        <v>2</v>
      </c>
      <c r="R49" s="42" t="s">
        <v>25</v>
      </c>
      <c r="S49" s="41">
        <v>1</v>
      </c>
      <c r="T49" s="43"/>
      <c r="U49" s="41">
        <v>1</v>
      </c>
      <c r="V49" s="41">
        <v>4</v>
      </c>
      <c r="W49" s="42" t="s">
        <v>214</v>
      </c>
      <c r="X49" s="41">
        <v>5</v>
      </c>
      <c r="Y49" s="43"/>
      <c r="Z49" s="43"/>
      <c r="AA49" s="43"/>
      <c r="AB49" s="43"/>
      <c r="AC49" s="42" t="s">
        <v>55</v>
      </c>
      <c r="AD49" s="43"/>
    </row>
    <row r="50" spans="15:30" x14ac:dyDescent="0.25">
      <c r="O50" s="39" t="s">
        <v>215</v>
      </c>
      <c r="P50" s="40" t="s">
        <v>491</v>
      </c>
      <c r="Q50" s="41">
        <v>2</v>
      </c>
      <c r="R50" s="42" t="s">
        <v>10</v>
      </c>
      <c r="S50" s="43"/>
      <c r="T50" s="43"/>
      <c r="U50" s="41">
        <v>1</v>
      </c>
      <c r="V50" s="41">
        <v>3</v>
      </c>
      <c r="W50" s="43"/>
      <c r="X50" s="41">
        <v>5</v>
      </c>
      <c r="Y50" s="43"/>
      <c r="Z50" s="43"/>
      <c r="AA50" s="43"/>
      <c r="AB50" s="43"/>
      <c r="AC50" s="42" t="s">
        <v>11</v>
      </c>
      <c r="AD50" s="43"/>
    </row>
    <row r="51" spans="15:30" x14ac:dyDescent="0.25">
      <c r="O51" s="39" t="s">
        <v>216</v>
      </c>
      <c r="P51" s="40" t="s">
        <v>491</v>
      </c>
      <c r="Q51" s="43"/>
      <c r="R51" s="43"/>
      <c r="S51" s="41">
        <v>2</v>
      </c>
      <c r="T51" s="42" t="s">
        <v>13</v>
      </c>
      <c r="U51" s="43"/>
      <c r="V51" s="41">
        <v>2</v>
      </c>
      <c r="W51" s="42" t="s">
        <v>119</v>
      </c>
      <c r="X51" s="41">
        <v>5</v>
      </c>
      <c r="Y51" s="43"/>
      <c r="Z51" s="43"/>
      <c r="AA51" s="43"/>
      <c r="AB51" s="43"/>
      <c r="AC51" s="42" t="s">
        <v>14</v>
      </c>
      <c r="AD51" s="43"/>
    </row>
    <row r="52" spans="15:30" x14ac:dyDescent="0.25">
      <c r="O52" s="39" t="s">
        <v>127</v>
      </c>
      <c r="P52" s="40" t="s">
        <v>342</v>
      </c>
      <c r="Q52" s="41">
        <v>2</v>
      </c>
      <c r="R52" s="42" t="s">
        <v>10</v>
      </c>
      <c r="S52" s="43"/>
      <c r="T52" s="43"/>
      <c r="U52" s="41">
        <v>1</v>
      </c>
      <c r="V52" s="41">
        <v>3</v>
      </c>
      <c r="W52" s="51"/>
      <c r="X52" s="41">
        <v>5</v>
      </c>
      <c r="Y52" s="43"/>
      <c r="Z52" s="43"/>
      <c r="AA52" s="43"/>
      <c r="AB52" s="43"/>
      <c r="AC52" s="42" t="s">
        <v>11</v>
      </c>
      <c r="AD52" s="43"/>
    </row>
    <row r="53" spans="15:30" x14ac:dyDescent="0.25">
      <c r="O53" s="39" t="s">
        <v>217</v>
      </c>
      <c r="P53" s="40" t="s">
        <v>342</v>
      </c>
      <c r="Q53" s="43"/>
      <c r="R53" s="43"/>
      <c r="S53" s="41">
        <v>2</v>
      </c>
      <c r="T53" s="42" t="s">
        <v>13</v>
      </c>
      <c r="U53" s="43"/>
      <c r="V53" s="41">
        <v>2</v>
      </c>
      <c r="W53" s="42" t="s">
        <v>128</v>
      </c>
      <c r="X53" s="41">
        <v>5</v>
      </c>
      <c r="Y53" s="43"/>
      <c r="Z53" s="43"/>
      <c r="AA53" s="43"/>
      <c r="AB53" s="43"/>
      <c r="AC53" s="42" t="s">
        <v>14</v>
      </c>
      <c r="AD53" s="43"/>
    </row>
    <row r="54" spans="15:30" x14ac:dyDescent="0.25">
      <c r="O54" s="39" t="s">
        <v>130</v>
      </c>
      <c r="P54" s="40" t="s">
        <v>454</v>
      </c>
      <c r="Q54" s="41">
        <v>2</v>
      </c>
      <c r="R54" s="42" t="s">
        <v>10</v>
      </c>
      <c r="S54" s="43"/>
      <c r="T54" s="43"/>
      <c r="U54" s="43"/>
      <c r="V54" s="41">
        <v>2</v>
      </c>
      <c r="W54" s="43"/>
      <c r="X54" s="41">
        <v>5</v>
      </c>
      <c r="Y54" s="43"/>
      <c r="Z54" s="43"/>
      <c r="AA54" s="43"/>
      <c r="AB54" s="43"/>
      <c r="AC54" s="42" t="s">
        <v>11</v>
      </c>
      <c r="AD54" s="43"/>
    </row>
    <row r="55" spans="15:30" x14ac:dyDescent="0.25">
      <c r="O55" s="39" t="s">
        <v>131</v>
      </c>
      <c r="P55" s="40" t="s">
        <v>454</v>
      </c>
      <c r="Q55" s="43"/>
      <c r="R55" s="43"/>
      <c r="S55" s="41">
        <v>2</v>
      </c>
      <c r="T55" s="42" t="s">
        <v>13</v>
      </c>
      <c r="U55" s="43"/>
      <c r="V55" s="41">
        <v>2</v>
      </c>
      <c r="W55" s="42" t="s">
        <v>97</v>
      </c>
      <c r="X55" s="41">
        <v>5</v>
      </c>
      <c r="Y55" s="43"/>
      <c r="Z55" s="43"/>
      <c r="AA55" s="43"/>
      <c r="AB55" s="43"/>
      <c r="AC55" s="42" t="s">
        <v>14</v>
      </c>
      <c r="AD55" s="43"/>
    </row>
    <row r="56" spans="15:30" x14ac:dyDescent="0.25">
      <c r="O56" s="44" t="s">
        <v>106</v>
      </c>
      <c r="P56" s="45" t="s">
        <v>81</v>
      </c>
      <c r="Q56" s="46">
        <v>2</v>
      </c>
      <c r="R56" s="47" t="s">
        <v>10</v>
      </c>
      <c r="S56" s="48"/>
      <c r="T56" s="48"/>
      <c r="U56" s="46">
        <v>1</v>
      </c>
      <c r="V56" s="46">
        <v>3</v>
      </c>
      <c r="W56" s="48"/>
      <c r="X56" s="46">
        <v>6</v>
      </c>
      <c r="Y56" s="48"/>
      <c r="Z56" s="48"/>
      <c r="AA56" s="48"/>
      <c r="AB56" s="48"/>
      <c r="AC56" s="48"/>
      <c r="AD56" s="47" t="s">
        <v>11</v>
      </c>
    </row>
    <row r="57" spans="15:30" x14ac:dyDescent="0.25">
      <c r="O57" s="44" t="s">
        <v>218</v>
      </c>
      <c r="P57" s="45" t="s">
        <v>81</v>
      </c>
      <c r="Q57" s="48"/>
      <c r="R57" s="48"/>
      <c r="S57" s="46">
        <v>2</v>
      </c>
      <c r="T57" s="47" t="s">
        <v>13</v>
      </c>
      <c r="U57" s="48"/>
      <c r="V57" s="46">
        <v>2</v>
      </c>
      <c r="W57" s="47" t="s">
        <v>107</v>
      </c>
      <c r="X57" s="46">
        <v>6</v>
      </c>
      <c r="Y57" s="48"/>
      <c r="Z57" s="48"/>
      <c r="AA57" s="48"/>
      <c r="AB57" s="48"/>
      <c r="AC57" s="48"/>
      <c r="AD57" s="47" t="s">
        <v>14</v>
      </c>
    </row>
    <row r="58" spans="15:30" x14ac:dyDescent="0.25">
      <c r="O58" s="44" t="s">
        <v>114</v>
      </c>
      <c r="P58" s="45" t="s">
        <v>334</v>
      </c>
      <c r="Q58" s="46">
        <v>2</v>
      </c>
      <c r="R58" s="47" t="s">
        <v>10</v>
      </c>
      <c r="S58" s="48"/>
      <c r="T58" s="48"/>
      <c r="U58" s="46">
        <v>1</v>
      </c>
      <c r="V58" s="46">
        <v>3</v>
      </c>
      <c r="W58" s="47" t="s">
        <v>91</v>
      </c>
      <c r="X58" s="46">
        <v>6</v>
      </c>
      <c r="Y58" s="48"/>
      <c r="Z58" s="48"/>
      <c r="AA58" s="48"/>
      <c r="AB58" s="48"/>
      <c r="AC58" s="48"/>
      <c r="AD58" s="47" t="s">
        <v>11</v>
      </c>
    </row>
    <row r="59" spans="15:30" x14ac:dyDescent="0.25">
      <c r="O59" s="44" t="s">
        <v>132</v>
      </c>
      <c r="P59" s="45" t="s">
        <v>348</v>
      </c>
      <c r="Q59" s="46">
        <v>1</v>
      </c>
      <c r="R59" s="48"/>
      <c r="S59" s="46">
        <v>1</v>
      </c>
      <c r="T59" s="47" t="s">
        <v>13</v>
      </c>
      <c r="U59" s="48"/>
      <c r="V59" s="46">
        <v>2</v>
      </c>
      <c r="W59" s="47" t="s">
        <v>105</v>
      </c>
      <c r="X59" s="46">
        <v>6</v>
      </c>
      <c r="Y59" s="48"/>
      <c r="Z59" s="48"/>
      <c r="AA59" s="48"/>
      <c r="AB59" s="48"/>
      <c r="AC59" s="48"/>
      <c r="AD59" s="47" t="s">
        <v>58</v>
      </c>
    </row>
    <row r="60" spans="15:30" x14ac:dyDescent="0.25">
      <c r="O60" s="52" t="s">
        <v>477</v>
      </c>
      <c r="P60" s="53" t="s">
        <v>478</v>
      </c>
      <c r="Q60" s="54"/>
      <c r="R60" s="54"/>
      <c r="S60" s="54"/>
      <c r="T60" s="54"/>
      <c r="U60" s="54"/>
      <c r="V60" s="55">
        <v>20</v>
      </c>
      <c r="W60" s="54"/>
      <c r="X60" s="55">
        <v>6</v>
      </c>
      <c r="Y60" s="54"/>
      <c r="Z60" s="54"/>
      <c r="AA60" s="54"/>
      <c r="AB60" s="54"/>
      <c r="AC60" s="54"/>
      <c r="AD60" s="55">
        <v>20</v>
      </c>
    </row>
    <row r="61" spans="15:30" x14ac:dyDescent="0.25">
      <c r="O61" s="56"/>
      <c r="P61" s="39" t="s">
        <v>67</v>
      </c>
      <c r="Q61" s="43"/>
      <c r="R61" s="43"/>
      <c r="S61" s="43"/>
      <c r="T61" s="43"/>
      <c r="U61" s="43"/>
      <c r="V61" s="43"/>
      <c r="W61" s="43"/>
      <c r="X61" s="43"/>
      <c r="Y61" s="42" t="s">
        <v>68</v>
      </c>
      <c r="Z61" s="42" t="s">
        <v>133</v>
      </c>
      <c r="AA61" s="42" t="s">
        <v>492</v>
      </c>
      <c r="AB61" s="42" t="s">
        <v>134</v>
      </c>
      <c r="AC61" s="42" t="s">
        <v>134</v>
      </c>
      <c r="AD61" s="42" t="s">
        <v>135</v>
      </c>
    </row>
    <row r="62" spans="15:30" x14ac:dyDescent="0.25">
      <c r="O62" s="56"/>
      <c r="P62" s="39" t="s">
        <v>75</v>
      </c>
      <c r="Q62" s="43"/>
      <c r="R62" s="43"/>
      <c r="S62" s="43"/>
      <c r="T62" s="43"/>
      <c r="U62" s="43"/>
      <c r="V62" s="41">
        <v>9</v>
      </c>
      <c r="W62" s="43"/>
      <c r="X62" s="96">
        <v>4.5</v>
      </c>
      <c r="Y62" s="43"/>
      <c r="Z62" s="43"/>
      <c r="AA62" s="43"/>
      <c r="AB62" s="41">
        <v>4</v>
      </c>
      <c r="AC62" s="41">
        <v>5</v>
      </c>
      <c r="AD62" s="43"/>
    </row>
    <row r="63" spans="15:30" x14ac:dyDescent="0.25">
      <c r="O63" s="56"/>
      <c r="P63" s="39" t="s">
        <v>73</v>
      </c>
      <c r="Q63" s="43"/>
      <c r="R63" s="43"/>
      <c r="S63" s="43"/>
      <c r="T63" s="43"/>
      <c r="U63" s="43"/>
      <c r="V63" s="43"/>
      <c r="W63" s="43"/>
      <c r="X63" s="43"/>
      <c r="Y63" s="41">
        <v>27</v>
      </c>
      <c r="Z63" s="41">
        <v>29</v>
      </c>
      <c r="AA63" s="41">
        <v>29</v>
      </c>
      <c r="AB63" s="41">
        <v>32</v>
      </c>
      <c r="AC63" s="41">
        <v>33</v>
      </c>
      <c r="AD63" s="41">
        <v>30</v>
      </c>
    </row>
    <row r="64" spans="15:30" x14ac:dyDescent="0.25">
      <c r="O64" s="56"/>
      <c r="P64" s="39" t="s">
        <v>74</v>
      </c>
      <c r="Q64" s="43"/>
      <c r="R64" s="43"/>
      <c r="S64" s="43"/>
      <c r="T64" s="43"/>
      <c r="U64" s="43"/>
      <c r="V64" s="41">
        <v>180</v>
      </c>
      <c r="W64" s="43"/>
      <c r="X64" s="43"/>
      <c r="Y64" s="43"/>
      <c r="Z64" s="43"/>
      <c r="AA64" s="43"/>
      <c r="AB64" s="43"/>
      <c r="AC64" s="43"/>
      <c r="AD64" s="43"/>
    </row>
    <row r="65" spans="15:30" x14ac:dyDescent="0.25">
      <c r="O65" s="215" t="s">
        <v>377</v>
      </c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  <c r="AA65" s="124"/>
      <c r="AB65" s="124"/>
      <c r="AC65" s="124"/>
      <c r="AD65" s="124"/>
    </row>
    <row r="66" spans="15:30" x14ac:dyDescent="0.25">
      <c r="O66" s="125" t="s">
        <v>378</v>
      </c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</row>
    <row r="67" spans="15:30" x14ac:dyDescent="0.25">
      <c r="O67" s="120" t="s">
        <v>379</v>
      </c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20"/>
      <c r="AD67" s="120"/>
    </row>
    <row r="68" spans="15:30" x14ac:dyDescent="0.25">
      <c r="O68" s="125" t="s">
        <v>380</v>
      </c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</row>
    <row r="69" spans="15:30" x14ac:dyDescent="0.25">
      <c r="O69" s="120" t="s">
        <v>376</v>
      </c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</row>
    <row r="70" spans="15:30" x14ac:dyDescent="0.25">
      <c r="O70" s="125" t="s">
        <v>381</v>
      </c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  <c r="AB70" s="125"/>
      <c r="AC70" s="125"/>
      <c r="AD70" s="125"/>
    </row>
    <row r="71" spans="15:30" x14ac:dyDescent="0.25">
      <c r="O71" s="119" t="s">
        <v>540</v>
      </c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</row>
    <row r="72" spans="15:30" x14ac:dyDescent="0.25">
      <c r="O72" s="120" t="s">
        <v>541</v>
      </c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20"/>
      <c r="AB72" s="120"/>
      <c r="AC72" s="120"/>
      <c r="AD72" s="120"/>
    </row>
    <row r="73" spans="15:30" x14ac:dyDescent="0.25">
      <c r="O73" s="121" t="s">
        <v>481</v>
      </c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  <c r="AC73" s="121"/>
      <c r="AD73" s="121"/>
    </row>
    <row r="74" spans="15:30" x14ac:dyDescent="0.25">
      <c r="O74" s="119" t="s">
        <v>542</v>
      </c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</row>
    <row r="75" spans="15:30" x14ac:dyDescent="0.25">
      <c r="O75" s="195">
        <v>42684.457638888889</v>
      </c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  <c r="AA75" s="196"/>
      <c r="AB75" s="196"/>
      <c r="AC75" s="196"/>
      <c r="AD75" s="196"/>
    </row>
    <row r="76" spans="15:30" x14ac:dyDescent="0.25">
      <c r="O76" s="214" t="s">
        <v>546</v>
      </c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3"/>
      <c r="AB76" s="193"/>
      <c r="AC76" s="193"/>
      <c r="AD76" s="193"/>
    </row>
  </sheetData>
  <sortState ref="O3:AD59">
    <sortCondition ref="X3:X59"/>
    <sortCondition ref="P3:P59"/>
  </sortState>
  <mergeCells count="74">
    <mergeCell ref="O76:AD76"/>
    <mergeCell ref="B27:C27"/>
    <mergeCell ref="O75:AD75"/>
    <mergeCell ref="O1:AD1"/>
    <mergeCell ref="O65:AD65"/>
    <mergeCell ref="O66:AD66"/>
    <mergeCell ref="O67:AD67"/>
    <mergeCell ref="O68:AD68"/>
    <mergeCell ref="O69:AD69"/>
    <mergeCell ref="O70:AD70"/>
    <mergeCell ref="O71:AD71"/>
    <mergeCell ref="O72:AD72"/>
    <mergeCell ref="O73:AD73"/>
    <mergeCell ref="O74:AD74"/>
    <mergeCell ref="L3:M3"/>
    <mergeCell ref="B5:C7"/>
    <mergeCell ref="J5:K5"/>
    <mergeCell ref="F7:F8"/>
    <mergeCell ref="G7:G8"/>
    <mergeCell ref="H7:I8"/>
    <mergeCell ref="B3:C3"/>
    <mergeCell ref="D3:E3"/>
    <mergeCell ref="F3:G3"/>
    <mergeCell ref="H3:I3"/>
    <mergeCell ref="J3:K3"/>
    <mergeCell ref="D5:D7"/>
    <mergeCell ref="E5:E7"/>
    <mergeCell ref="F5:F6"/>
    <mergeCell ref="G5:G6"/>
    <mergeCell ref="H5:I5"/>
    <mergeCell ref="B9:B12"/>
    <mergeCell ref="C9:C12"/>
    <mergeCell ref="H9:H10"/>
    <mergeCell ref="I9:I10"/>
    <mergeCell ref="D10:D11"/>
    <mergeCell ref="D12:D13"/>
    <mergeCell ref="E12:E13"/>
    <mergeCell ref="F12:F13"/>
    <mergeCell ref="G12:G13"/>
    <mergeCell ref="B13:C23"/>
    <mergeCell ref="D14:E14"/>
    <mergeCell ref="D15:E23"/>
    <mergeCell ref="F15:F16"/>
    <mergeCell ref="G15:G16"/>
    <mergeCell ref="F19:G19"/>
    <mergeCell ref="H20:I20"/>
    <mergeCell ref="L15:M15"/>
    <mergeCell ref="F17:G18"/>
    <mergeCell ref="H17:I17"/>
    <mergeCell ref="J18:K18"/>
    <mergeCell ref="L18:M18"/>
    <mergeCell ref="F21:G23"/>
    <mergeCell ref="J23:K24"/>
    <mergeCell ref="B24:C24"/>
    <mergeCell ref="B25:C25"/>
    <mergeCell ref="B26:C26"/>
    <mergeCell ref="L29:M29"/>
    <mergeCell ref="B31:M31"/>
    <mergeCell ref="B32:M32"/>
    <mergeCell ref="B33:M33"/>
    <mergeCell ref="B34:M34"/>
    <mergeCell ref="B29:C29"/>
    <mergeCell ref="D29:E29"/>
    <mergeCell ref="F29:G29"/>
    <mergeCell ref="H29:I29"/>
    <mergeCell ref="J29:K29"/>
    <mergeCell ref="B40:M40"/>
    <mergeCell ref="B41:M41"/>
    <mergeCell ref="B42:M42"/>
    <mergeCell ref="B35:M35"/>
    <mergeCell ref="B36:M36"/>
    <mergeCell ref="B37:M37"/>
    <mergeCell ref="B38:M38"/>
    <mergeCell ref="B39:M39"/>
  </mergeCells>
  <hyperlinks>
    <hyperlink ref="P6" r:id="rId1" display="http://www.inf.elte.hu/karunkrol/oktatas/tantervek/tematika/PTIBScABCTE/Komputeralgebra_rendszerek_A_hun.pdf" xr:uid="{00000000-0004-0000-0200-000000000000}"/>
    <hyperlink ref="P11" r:id="rId2" display="http://www.inf.elte.hu/karunkrol/oktatas/tantervek/tematika/PTIBScABCTE/Matematikai_alapozas_ABCT_hun.pdf" xr:uid="{00000000-0004-0000-0200-000001000000}"/>
    <hyperlink ref="P14" r:id="rId3" display="http://www.inf.elte.hu/karunkrol/oktatas/tantervek/tematika/PTIBScABCTE/Analizis_1_ABCT_hun.pdf" xr:uid="{00000000-0004-0000-0200-000002000000}"/>
    <hyperlink ref="P15" r:id="rId4" display="http://www.inf.elte.hu/karunkrol/oktatas/tantervek/tematika/PTIBScABCTE/Analizis_1_ABCT_hun.pdf" xr:uid="{00000000-0004-0000-0200-000003000000}"/>
    <hyperlink ref="P26" r:id="rId5" display="http://www.inf.elte.hu/karunkrol/oktatas/tantervek/tematika/PTIBScABCTE/Analizis_2_ABC_hun.pdf" xr:uid="{00000000-0004-0000-0200-000004000000}"/>
    <hyperlink ref="P27" r:id="rId6" display="http://www.inf.elte.hu/karunkrol/oktatas/tantervek/tematika/PTIBScABCTE/Analizis_2_ABC_hun.pdf" xr:uid="{00000000-0004-0000-0200-000005000000}"/>
    <hyperlink ref="P39" r:id="rId7" display="http://www.inf.elte.hu/karunkrol/oktatas/tantervek/tematika/PTIBScABCTE/Analizis_3_BCE_hun.pdf" xr:uid="{00000000-0004-0000-0200-000006000000}"/>
    <hyperlink ref="P28" r:id="rId8" display="http://www.inf.elte.hu/karunkrol/oktatas/tantervek/tematika/PTIBScABCTE/Numerikus_modszerek_1_ABC_hun.pdf" xr:uid="{00000000-0004-0000-0200-000007000000}"/>
    <hyperlink ref="P29" r:id="rId9" display="http://www.inf.elte.hu/karunkrol/oktatas/tantervek/tematika/PTIBScABCTE/Numerikus_modszerek_1_ABC_hun.pdf" xr:uid="{00000000-0004-0000-0200-000008000000}"/>
    <hyperlink ref="P43" r:id="rId10" display="http://www.inf.elte.hu/karunkrol/oktatas/tantervek/tematika/PTIBScABCTE/Numerikus_modszerek_2_B_hun.pdf" xr:uid="{00000000-0004-0000-0200-000009000000}"/>
    <hyperlink ref="P48" r:id="rId11" display="http://www.inf.elte.hu/karunkrol/oktatas/tantervek/tematika/PTIBScABCTE/Modellek_es_algoritmusok_B_hun.pdf" xr:uid="{00000000-0004-0000-0200-00000A000000}"/>
    <hyperlink ref="P3" r:id="rId12" display="http://www.inf.elte.hu/karunkrol/oktatas/tantervek/tematika/PTIBScABCTE/Diszkret_matematika_1_ABCT_hun.pdf" xr:uid="{00000000-0004-0000-0200-00000B000000}"/>
    <hyperlink ref="P5" r:id="rId13" display="http://www.inf.elte.hu/karunkrol/oktatas/tantervek/tematika/PTIBScABCTE/Diszkret_matematika_1_ABCT_hun.pdf" xr:uid="{00000000-0004-0000-0200-00000C000000}"/>
    <hyperlink ref="P16" r:id="rId14" display="http://www.inf.elte.hu/karunkrol/oktatas/tantervek/tematika/PTIBScABCTE/Diszkret_matematika_2_ABC_hun.pdf" xr:uid="{00000000-0004-0000-0200-00000D000000}"/>
    <hyperlink ref="P17" r:id="rId15" display="http://www.inf.elte.hu/karunkrol/oktatas/tantervek/tematika/PTIBScABCTE/Diszkret_matematika_2_ABC_hun.pdf" xr:uid="{00000000-0004-0000-0200-00000E000000}"/>
    <hyperlink ref="P9" r:id="rId16" display="http://www.inf.elte.hu/karunkrol/oktatas/tantervek/tematika/PTIBScABCTE/Linearis_algebra_ABC_hun.pdf" xr:uid="{00000000-0004-0000-0200-00000F000000}"/>
    <hyperlink ref="P10" r:id="rId17" display="http://www.inf.elte.hu/karunkrol/oktatas/tantervek/tematika/PTIBScABCTE/Linearis_algebra_ABC_hun.pdf" xr:uid="{00000000-0004-0000-0200-000010000000}"/>
    <hyperlink ref="P54" r:id="rId18" display="http://www.inf.elte.hu/karunkrol/oktatas/tantervek/tematika/PTIBScABCTE/Valoszinusegszamitas_es_statisztika_BC_hun.pdf" xr:uid="{00000000-0004-0000-0200-000011000000}"/>
    <hyperlink ref="P55" r:id="rId19" display="http://www.inf.elte.hu/karunkrol/oktatas/tantervek/tematika/PTIBScABCTE/Valoszinusegszamitas_es_statisztika_BC_hun.pdf" xr:uid="{00000000-0004-0000-0200-000012000000}"/>
    <hyperlink ref="P41" r:id="rId20" display="http://www.inf.elte.hu/karunkrol/oktatas/tantervek/tematika/PTIBScABCTE/Logika_es_szamitaselmelet_ABCT_hun.pdf" xr:uid="{00000000-0004-0000-0200-000013000000}"/>
    <hyperlink ref="P42" r:id="rId21" display="http://www.inf.elte.hu/karunkrol/oktatas/tantervek/tematika/PTIBScABCTE/Logika_es_szamitaselmelet_ABCT_hun.pdf" xr:uid="{00000000-0004-0000-0200-000014000000}"/>
    <hyperlink ref="P24" r:id="rId22" display="http://www.inf.elte.hu/karunkrol/oktatas/tantervek/tematika/PTIBScABCTE/Algoritmusok_es_adatszerkezetek_1_ABC_hun.pdf" xr:uid="{00000000-0004-0000-0200-000015000000}"/>
    <hyperlink ref="P25" r:id="rId23" display="http://www.inf.elte.hu/karunkrol/oktatas/tantervek/tematika/PTIBScABCTE/Algoritmusok_es_adatszerkezetek_1_ABC_hun.pdf" xr:uid="{00000000-0004-0000-0200-000016000000}"/>
    <hyperlink ref="P37" r:id="rId24" display="http://www.inf.elte.hu/karunkrol/oktatas/tantervek/tematika/PTIBScABCTE/Algoritmusok_es_adatszerkezetek_2_ABCT_hun.pdf" xr:uid="{00000000-0004-0000-0200-000017000000}"/>
    <hyperlink ref="P38" r:id="rId25" display="http://www.inf.elte.hu/karunkrol/oktatas/tantervek/tematika/PTIBScABCTE/Algoritmusok_es_adatszerkezetek_2_ABCT_hun.pdf" xr:uid="{00000000-0004-0000-0200-000018000000}"/>
    <hyperlink ref="P18" r:id="rId26" display="http://www.inf.elte.hu/karunkrol/oktatas/tantervek/tematika/PTIBScABCTE/Formalis_nyelvek_es_automatak_ABCE_hun.pdf" xr:uid="{00000000-0004-0000-0200-000019000000}"/>
    <hyperlink ref="P19" r:id="rId27" display="http://www.inf.elte.hu/karunkrol/oktatas/tantervek/tematika/PTIBScABCTE/Formalis_nyelvek_es_automatak_ABCE_hun.pdf" xr:uid="{00000000-0004-0000-0200-00001A000000}"/>
    <hyperlink ref="P58" r:id="rId28" display="http://www.inf.elte.hu/karunkrol/oktatas/tantervek/tematika/PTIBScABCTE/Mesterseges_intelligencia_ABCTE_hun.pdf" xr:uid="{00000000-0004-0000-0200-00001B000000}"/>
    <hyperlink ref="P12" r:id="rId29" display="http://www.inf.elte.hu/karunkrol/oktatas/tantervek/tematika/PTIBScABCTE/Programozasi_alapismeretek_ABCT_hun.pdf" xr:uid="{00000000-0004-0000-0200-00001C000000}"/>
    <hyperlink ref="P13" r:id="rId30" display="http://www.inf.elte.hu/karunkrol/oktatas/tantervek/tematika/PTIBScABCTE/Szamitogepes_alapismeretek_ABCT_hun.pdf" xr:uid="{00000000-0004-0000-0200-00001D000000}"/>
    <hyperlink ref="P21" r:id="rId31" display="http://www.inf.elte.hu/karunkrol/oktatas/tantervek/tematika/PTIBScABCTE/Programozas_BT_hun.pdf" xr:uid="{00000000-0004-0000-0200-00001E000000}"/>
    <hyperlink ref="P22" r:id="rId32" display="http://www.inf.elte.hu/karunkrol/oktatas/tantervek/tematika/PTIBScABCTE/Programozas_modszertani_alapjai_1_BT_hun.pdf" xr:uid="{00000000-0004-0000-0200-00001F000000}"/>
    <hyperlink ref="P23" r:id="rId33" display="http://www.inf.elte.hu/karunkrol/oktatas/tantervek/tematika/PTIBScABCTE/Programozas_modszertani_alapjai_1_BT_hun.pdf" xr:uid="{00000000-0004-0000-0200-000020000000}"/>
    <hyperlink ref="P31" r:id="rId34" display="http://www.inf.elte.hu/karunkrol/oktatas/tantervek/tematika/PTIBScABCTE/Programozas_modszertani_alapjai_2_BT_hun.pdf" xr:uid="{00000000-0004-0000-0200-000021000000}"/>
    <hyperlink ref="P32" r:id="rId35" display="http://www.inf.elte.hu/karunkrol/oktatas/tantervek/tematika/PTIBScABCTE/Programozas_modszertani_alapjai_2_BT_hun.pdf" xr:uid="{00000000-0004-0000-0200-000022000000}"/>
    <hyperlink ref="P33" r:id="rId36" display="http://www.inf.elte.hu/karunkrol/oktatas/tantervek/tematika/PTIBScABCTE/Programozasi_nyelvek_(C)_BCTE_hun.pdf" xr:uid="{00000000-0004-0000-0200-000023000000}"/>
    <hyperlink ref="P44" r:id="rId37" display="http://www.inf.elte.hu/karunkrol/oktatas/tantervek/tematika/PTIBScABCTE/Programozasi_nyelvek_(ADA)_AB_hun.pdf" xr:uid="{00000000-0004-0000-0200-000024000000}"/>
    <hyperlink ref="P20" r:id="rId38" display="http://www.inf.elte.hu/karunkrol/oktatas/tantervek/tematika/PTIBScABCTE/Funkcionalis_programozas_BT_hun.pdf" xr:uid="{00000000-0004-0000-0200-000025000000}"/>
    <hyperlink ref="P34" r:id="rId39" display="http://www.inf.elte.hu/karunkrol/oktatas/tantervek/tematika/PTIBScABCTE/Szoftvertechnologia_ABT_hun.pdf" xr:uid="{00000000-0004-0000-0200-000026000000}"/>
    <hyperlink ref="P56" r:id="rId40" display="http://www.inf.elte.hu/karunkrol/oktatas/tantervek/tematika/PTIBScABCTE/Forditoprogramok_ABCT_hun.pdf" xr:uid="{00000000-0004-0000-0200-000027000000}"/>
    <hyperlink ref="P57" r:id="rId41" display="http://www.inf.elte.hu/karunkrol/oktatas/tantervek/tematika/PTIBScABCTE/Forditoprogramok_ABCT_hun.pdf" xr:uid="{00000000-0004-0000-0200-000028000000}"/>
    <hyperlink ref="P30" r:id="rId42" display="http://www.inf.elte.hu/karunkrol/oktatas/tantervek/tematika/PTIBScABCTE/Objektumelvu_alkalmazasok_fejlesztese_ABT_hun.pdf" xr:uid="{00000000-0004-0000-0200-000029000000}"/>
    <hyperlink ref="P40" r:id="rId43" display="http://www.inf.elte.hu/karunkrol/oktatas/tantervek/tematika/PTIBScABCTE/Esemenyvezerelt_alkalmazasok_fejlesztese_1_B_hun.pdf" xr:uid="{00000000-0004-0000-0200-00002A000000}"/>
    <hyperlink ref="P47" r:id="rId44" display="http://www.inf.elte.hu/karunkrol/oktatas/tantervek/tematika/PTIBScABCTE/Esemenyvezerelt_alkalmazasok_fejlesztese_2_B_hun.pdf" xr:uid="{00000000-0004-0000-0200-00002B000000}"/>
    <hyperlink ref="P59" r:id="rId45" display="http://www.inf.elte.hu/karunkrol/oktatas/tantervek/tematika/PTIBScABCTE/Webes_alkalmazasok_fejlesztese_B_hun.pdf" xr:uid="{00000000-0004-0000-0200-00002C000000}"/>
    <hyperlink ref="P49" r:id="rId46" display="http://www.inf.elte.hu/karunkrol/oktatas/tantervek/tematika/PTIBScABCTE/Operacios_rendszerek_ABCE_hun.pdf" xr:uid="{00000000-0004-0000-0200-00002D000000}"/>
    <hyperlink ref="P52" r:id="rId47" display="http://www.inf.elte.hu/karunkrol/oktatas/tantervek/tematika/PTIBScABCTE/Szamitogepes_halozatok_ABCT_hun.pdf" xr:uid="{00000000-0004-0000-0200-00002E000000}"/>
    <hyperlink ref="P53" r:id="rId48" display="http://www.inf.elte.hu/karunkrol/oktatas/tantervek/tematika/PTIBScABCTE/Szamitogepes_halozatok_ABCT_hun.pdf" xr:uid="{00000000-0004-0000-0200-00002F000000}"/>
    <hyperlink ref="P50" r:id="rId49" display="http://www.inf.elte.hu/karunkrol/oktatas/tantervek/tematika/PTIBScABCTE/Osztott_rendszerek_specifikacioja_es_implementacioja_B_hun.pdf" xr:uid="{00000000-0004-0000-0200-000030000000}"/>
    <hyperlink ref="P51" r:id="rId50" display="http://www.inf.elte.hu/karunkrol/oktatas/tantervek/tematika/PTIBScABCTE/Osztott_rendszerek_specifikacioja_es_implementacioja_B_hun.pdf" xr:uid="{00000000-0004-0000-0200-000031000000}"/>
    <hyperlink ref="P35" r:id="rId51" display="http://www.inf.elte.hu/karunkrol/oktatas/tantervek/tematika/PTIBScABCTE/Adatbazisok_1_ABCT_hun.pdf" xr:uid="{00000000-0004-0000-0200-000032000000}"/>
    <hyperlink ref="P36" r:id="rId52" display="http://www.inf.elte.hu/karunkrol/oktatas/tantervek/tematika/PTIBScABCTE/Adatbazisok_1_ABCT_hun.pdf" xr:uid="{00000000-0004-0000-0200-000033000000}"/>
    <hyperlink ref="P45" r:id="rId53" display="http://www.inf.elte.hu/karunkrol/oktatas/tantervek/tematika/PTIBScABCTE/Adatbazisok_2_ABT_hun.pdf" xr:uid="{00000000-0004-0000-0200-000034000000}"/>
    <hyperlink ref="P46" r:id="rId54" display="http://www.inf.elte.hu/karunkrol/oktatas/tantervek/tematika/PTIBScABCTE/Adatbazisok_2_ABT_hun.pdf" xr:uid="{00000000-0004-0000-0200-000035000000}"/>
    <hyperlink ref="P8" r:id="rId55" display="http://www.inf.elte.hu/karunkrol/oktatas/tantervek/tematika/PTIBScABCTE/Kozgazdasagi_alapismeretek_ABC_hun.pdf" xr:uid="{00000000-0004-0000-0200-000036000000}"/>
    <hyperlink ref="P7" r:id="rId56" display="http://www.inf.elte.hu/karunkrol/oktatas/tantervek/tematika/PTIBScABCTE/Jogi_es_menedzsment_alapismeretek_ABC_hun.pdf" xr:uid="{00000000-0004-0000-0200-000037000000}"/>
    <hyperlink ref="O71" r:id="rId57" xr:uid="{00000000-0004-0000-0200-000038000000}"/>
    <hyperlink ref="O74" r:id="rId58" xr:uid="{00000000-0004-0000-0200-000039000000}"/>
    <hyperlink ref="O76" r:id="rId59" xr:uid="{00000000-0004-0000-0200-00003A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K74"/>
  <sheetViews>
    <sheetView tabSelected="1" topLeftCell="A3" workbookViewId="0">
      <selection activeCell="N3" sqref="N3"/>
    </sheetView>
  </sheetViews>
  <sheetFormatPr defaultRowHeight="15" x14ac:dyDescent="0.25"/>
  <cols>
    <col min="1" max="1" width="2.42578125" style="21" customWidth="1"/>
    <col min="2" max="5" width="12.7109375" style="21" bestFit="1" customWidth="1"/>
    <col min="6" max="7" width="15.7109375" style="21" bestFit="1" customWidth="1"/>
    <col min="8" max="9" width="12.7109375" style="21" bestFit="1" customWidth="1"/>
    <col min="10" max="10" width="29.28515625" style="21" bestFit="1" customWidth="1"/>
    <col min="11" max="11" width="18.42578125" style="21" bestFit="1" customWidth="1"/>
    <col min="12" max="12" width="8.42578125" style="21" bestFit="1" customWidth="1"/>
    <col min="13" max="13" width="9.7109375" style="21" bestFit="1" customWidth="1"/>
    <col min="14" max="14" width="2.85546875" style="21" customWidth="1"/>
    <col min="15" max="15" width="15.7109375" style="21" bestFit="1" customWidth="1"/>
    <col min="16" max="16" width="51.5703125" style="21" bestFit="1" customWidth="1"/>
    <col min="17" max="19" width="3.7109375" style="4" bestFit="1" customWidth="1"/>
    <col min="20" max="20" width="4.28515625" style="4" bestFit="1" customWidth="1"/>
    <col min="21" max="21" width="3.7109375" style="4" bestFit="1" customWidth="1"/>
    <col min="22" max="22" width="4" style="4" bestFit="1" customWidth="1"/>
    <col min="23" max="23" width="63.85546875" style="21" bestFit="1" customWidth="1"/>
    <col min="24" max="24" width="5.140625" style="4" bestFit="1" customWidth="1"/>
    <col min="25" max="25" width="7.7109375" style="21" bestFit="1" customWidth="1"/>
    <col min="26" max="30" width="6.7109375" style="21" bestFit="1" customWidth="1"/>
    <col min="31" max="31" width="3.5703125" style="21" bestFit="1" customWidth="1"/>
    <col min="32" max="32" width="9.140625" style="21"/>
    <col min="33" max="33" width="15" style="21" bestFit="1" customWidth="1"/>
    <col min="34" max="34" width="10.7109375" style="21" bestFit="1" customWidth="1"/>
    <col min="35" max="36" width="10" style="21" bestFit="1" customWidth="1"/>
    <col min="37" max="16384" width="9.140625" style="21"/>
  </cols>
  <sheetData>
    <row r="1" spans="2:37" x14ac:dyDescent="0.25">
      <c r="O1" s="122" t="s">
        <v>466</v>
      </c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</row>
    <row r="2" spans="2:37" s="95" customFormat="1" ht="60" thickBot="1" x14ac:dyDescent="0.3">
      <c r="O2" s="33" t="s">
        <v>182</v>
      </c>
      <c r="P2" s="33" t="s">
        <v>183</v>
      </c>
      <c r="Q2" s="34" t="s">
        <v>0</v>
      </c>
      <c r="R2" s="34" t="s">
        <v>1</v>
      </c>
      <c r="S2" s="34" t="s">
        <v>2</v>
      </c>
      <c r="T2" s="34" t="s">
        <v>184</v>
      </c>
      <c r="U2" s="34" t="s">
        <v>3</v>
      </c>
      <c r="V2" s="34" t="s">
        <v>4</v>
      </c>
      <c r="W2" s="33" t="s">
        <v>185</v>
      </c>
      <c r="X2" s="57" t="s">
        <v>548</v>
      </c>
      <c r="Y2" s="34" t="s">
        <v>186</v>
      </c>
      <c r="Z2" s="34" t="s">
        <v>187</v>
      </c>
      <c r="AA2" s="34" t="s">
        <v>188</v>
      </c>
      <c r="AB2" s="34" t="s">
        <v>189</v>
      </c>
      <c r="AC2" s="34" t="s">
        <v>190</v>
      </c>
      <c r="AD2" s="34" t="s">
        <v>191</v>
      </c>
    </row>
    <row r="3" spans="2:37" ht="16.5" thickTop="1" thickBot="1" x14ac:dyDescent="0.3">
      <c r="B3" s="156" t="s">
        <v>186</v>
      </c>
      <c r="C3" s="157"/>
      <c r="D3" s="156" t="s">
        <v>187</v>
      </c>
      <c r="E3" s="157"/>
      <c r="F3" s="156" t="s">
        <v>188</v>
      </c>
      <c r="G3" s="157"/>
      <c r="H3" s="156" t="s">
        <v>189</v>
      </c>
      <c r="I3" s="157"/>
      <c r="J3" s="156" t="s">
        <v>190</v>
      </c>
      <c r="K3" s="157"/>
      <c r="L3" s="156" t="s">
        <v>191</v>
      </c>
      <c r="M3" s="157"/>
      <c r="O3" s="39" t="s">
        <v>27</v>
      </c>
      <c r="P3" s="40" t="s">
        <v>326</v>
      </c>
      <c r="Q3" s="97">
        <v>3</v>
      </c>
      <c r="R3" s="42" t="s">
        <v>10</v>
      </c>
      <c r="S3" s="42"/>
      <c r="T3" s="42"/>
      <c r="U3" s="97">
        <v>1</v>
      </c>
      <c r="V3" s="97">
        <v>4</v>
      </c>
      <c r="W3" s="42" t="s">
        <v>7</v>
      </c>
      <c r="X3" s="97">
        <v>1</v>
      </c>
      <c r="Y3" s="42" t="s">
        <v>28</v>
      </c>
      <c r="Z3" s="42"/>
      <c r="AA3" s="42"/>
      <c r="AB3" s="42"/>
      <c r="AC3" s="42"/>
      <c r="AD3" s="42"/>
    </row>
    <row r="4" spans="2:37" s="60" customFormat="1" ht="15.75" hidden="1" thickTop="1" x14ac:dyDescent="0.25"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O4" s="44"/>
      <c r="P4" s="45"/>
      <c r="Q4" s="59"/>
      <c r="R4" s="47"/>
      <c r="S4" s="47"/>
      <c r="T4" s="47"/>
      <c r="U4" s="59"/>
      <c r="V4" s="59"/>
      <c r="W4" s="47"/>
      <c r="X4" s="59"/>
      <c r="Y4" s="47"/>
      <c r="Z4" s="47"/>
      <c r="AA4" s="47"/>
      <c r="AB4" s="47"/>
      <c r="AC4" s="47"/>
      <c r="AD4" s="47"/>
    </row>
    <row r="5" spans="2:37" s="60" customFormat="1" ht="15.75" thickTop="1" x14ac:dyDescent="0.25">
      <c r="B5" s="167" t="s">
        <v>219</v>
      </c>
      <c r="C5" s="168"/>
      <c r="D5" s="136" t="s">
        <v>224</v>
      </c>
      <c r="E5" s="136" t="s">
        <v>225</v>
      </c>
      <c r="F5" s="136" t="s">
        <v>229</v>
      </c>
      <c r="G5" s="136" t="s">
        <v>230</v>
      </c>
      <c r="H5" s="173" t="s">
        <v>233</v>
      </c>
      <c r="I5" s="174"/>
      <c r="J5" s="173" t="s">
        <v>235</v>
      </c>
      <c r="K5" s="174"/>
      <c r="L5" s="4"/>
      <c r="M5" s="4"/>
      <c r="O5" s="39" t="s">
        <v>29</v>
      </c>
      <c r="P5" s="40" t="s">
        <v>326</v>
      </c>
      <c r="Q5" s="42"/>
      <c r="R5" s="42"/>
      <c r="S5" s="97">
        <v>3</v>
      </c>
      <c r="T5" s="42" t="s">
        <v>13</v>
      </c>
      <c r="U5" s="42"/>
      <c r="V5" s="97">
        <v>3</v>
      </c>
      <c r="W5" s="42" t="s">
        <v>7</v>
      </c>
      <c r="X5" s="97">
        <v>1</v>
      </c>
      <c r="Y5" s="42" t="s">
        <v>30</v>
      </c>
      <c r="Z5" s="42"/>
      <c r="AA5" s="42"/>
      <c r="AB5" s="42"/>
      <c r="AC5" s="42"/>
      <c r="AD5" s="42"/>
    </row>
    <row r="6" spans="2:37" x14ac:dyDescent="0.25">
      <c r="B6" s="169"/>
      <c r="C6" s="170"/>
      <c r="D6" s="137"/>
      <c r="E6" s="137"/>
      <c r="F6" s="138"/>
      <c r="G6" s="138"/>
      <c r="H6" s="4"/>
      <c r="I6" s="4"/>
      <c r="J6" s="6" t="s">
        <v>244</v>
      </c>
      <c r="K6" s="6" t="s">
        <v>243</v>
      </c>
      <c r="L6" s="4"/>
      <c r="M6" s="4"/>
      <c r="O6" s="39" t="s">
        <v>467</v>
      </c>
      <c r="P6" s="49" t="s">
        <v>539</v>
      </c>
      <c r="Q6" s="42"/>
      <c r="R6" s="42"/>
      <c r="S6" s="97">
        <v>45</v>
      </c>
      <c r="T6" s="42" t="s">
        <v>468</v>
      </c>
      <c r="U6" s="42"/>
      <c r="V6" s="97">
        <v>0</v>
      </c>
      <c r="W6" s="42" t="s">
        <v>7</v>
      </c>
      <c r="X6" s="97">
        <v>1</v>
      </c>
      <c r="Y6" s="42" t="s">
        <v>469</v>
      </c>
      <c r="Z6" s="42"/>
      <c r="AA6" s="42"/>
      <c r="AB6" s="42"/>
      <c r="AC6" s="42"/>
      <c r="AD6" s="42"/>
    </row>
    <row r="7" spans="2:37" x14ac:dyDescent="0.25">
      <c r="B7" s="139"/>
      <c r="C7" s="171"/>
      <c r="D7" s="138"/>
      <c r="E7" s="138"/>
      <c r="F7" s="158" t="s">
        <v>231</v>
      </c>
      <c r="G7" s="158" t="s">
        <v>232</v>
      </c>
      <c r="H7" s="161" t="s">
        <v>234</v>
      </c>
      <c r="I7" s="164"/>
      <c r="J7" s="4"/>
      <c r="K7" s="4"/>
      <c r="L7" s="4"/>
      <c r="M7" s="4"/>
      <c r="O7" s="39" t="s">
        <v>66</v>
      </c>
      <c r="P7" s="40" t="s">
        <v>470</v>
      </c>
      <c r="Q7" s="97">
        <v>2</v>
      </c>
      <c r="R7" s="42" t="s">
        <v>10</v>
      </c>
      <c r="S7" s="42"/>
      <c r="T7" s="42"/>
      <c r="U7" s="42"/>
      <c r="V7" s="97">
        <v>2</v>
      </c>
      <c r="W7" s="42" t="s">
        <v>7</v>
      </c>
      <c r="X7" s="97">
        <v>1</v>
      </c>
      <c r="Y7" s="42" t="s">
        <v>11</v>
      </c>
      <c r="Z7" s="42"/>
      <c r="AA7" s="42"/>
      <c r="AB7" s="42"/>
      <c r="AC7" s="42"/>
      <c r="AD7" s="42"/>
    </row>
    <row r="8" spans="2:37" x14ac:dyDescent="0.25">
      <c r="B8" s="158" t="s">
        <v>220</v>
      </c>
      <c r="C8" s="158" t="s">
        <v>221</v>
      </c>
      <c r="D8" s="4"/>
      <c r="E8" s="4"/>
      <c r="F8" s="160"/>
      <c r="G8" s="160"/>
      <c r="H8" s="162"/>
      <c r="I8" s="166"/>
      <c r="J8" s="4"/>
      <c r="K8" s="4"/>
      <c r="L8" s="4"/>
      <c r="M8" s="4"/>
      <c r="O8" s="39" t="s">
        <v>65</v>
      </c>
      <c r="P8" s="40" t="s">
        <v>471</v>
      </c>
      <c r="Q8" s="97">
        <v>3</v>
      </c>
      <c r="R8" s="42" t="s">
        <v>10</v>
      </c>
      <c r="S8" s="42"/>
      <c r="T8" s="42"/>
      <c r="U8" s="42"/>
      <c r="V8" s="97">
        <v>3</v>
      </c>
      <c r="W8" s="42" t="s">
        <v>7</v>
      </c>
      <c r="X8" s="97">
        <v>1</v>
      </c>
      <c r="Y8" s="42" t="s">
        <v>28</v>
      </c>
      <c r="Z8" s="42"/>
      <c r="AA8" s="42"/>
      <c r="AB8" s="42"/>
      <c r="AC8" s="42"/>
      <c r="AD8" s="42"/>
    </row>
    <row r="9" spans="2:37" x14ac:dyDescent="0.25">
      <c r="B9" s="159"/>
      <c r="C9" s="159"/>
      <c r="D9" s="4"/>
      <c r="E9" s="4"/>
      <c r="F9" s="4"/>
      <c r="G9" s="4"/>
      <c r="H9" s="134" t="s">
        <v>251</v>
      </c>
      <c r="I9" s="135"/>
      <c r="J9" s="4"/>
      <c r="K9" s="4"/>
      <c r="L9" s="4"/>
      <c r="M9" s="4"/>
      <c r="O9" s="39" t="s">
        <v>33</v>
      </c>
      <c r="P9" s="40" t="s">
        <v>329</v>
      </c>
      <c r="Q9" s="97">
        <v>2</v>
      </c>
      <c r="R9" s="42" t="s">
        <v>10</v>
      </c>
      <c r="S9" s="42"/>
      <c r="T9" s="42"/>
      <c r="U9" s="42"/>
      <c r="V9" s="97">
        <v>2</v>
      </c>
      <c r="W9" s="42" t="s">
        <v>7</v>
      </c>
      <c r="X9" s="97">
        <v>1</v>
      </c>
      <c r="Y9" s="42" t="s">
        <v>11</v>
      </c>
      <c r="Z9" s="42"/>
      <c r="AA9" s="42"/>
      <c r="AB9" s="42"/>
      <c r="AC9" s="42"/>
      <c r="AD9" s="42"/>
    </row>
    <row r="10" spans="2:37" x14ac:dyDescent="0.25">
      <c r="B10" s="160"/>
      <c r="C10" s="160"/>
      <c r="D10" s="4"/>
      <c r="E10" s="4"/>
      <c r="F10" s="4"/>
      <c r="G10" s="4"/>
      <c r="H10" s="134" t="s">
        <v>252</v>
      </c>
      <c r="I10" s="135"/>
      <c r="J10" s="4"/>
      <c r="K10" s="4"/>
      <c r="L10" s="4"/>
      <c r="M10" s="4"/>
      <c r="O10" s="39" t="s">
        <v>34</v>
      </c>
      <c r="P10" s="40" t="s">
        <v>329</v>
      </c>
      <c r="Q10" s="42"/>
      <c r="R10" s="42"/>
      <c r="S10" s="97">
        <v>2</v>
      </c>
      <c r="T10" s="42" t="s">
        <v>13</v>
      </c>
      <c r="U10" s="42"/>
      <c r="V10" s="97">
        <v>2</v>
      </c>
      <c r="W10" s="42" t="s">
        <v>7</v>
      </c>
      <c r="X10" s="97">
        <v>1</v>
      </c>
      <c r="Y10" s="42" t="s">
        <v>14</v>
      </c>
      <c r="Z10" s="42"/>
      <c r="AA10" s="42"/>
      <c r="AB10" s="42"/>
      <c r="AC10" s="42"/>
      <c r="AD10" s="42"/>
    </row>
    <row r="11" spans="2:37" x14ac:dyDescent="0.25">
      <c r="B11" s="175" t="s">
        <v>222</v>
      </c>
      <c r="C11" s="175" t="s">
        <v>223</v>
      </c>
      <c r="D11" s="29" t="s">
        <v>246</v>
      </c>
      <c r="E11" s="29" t="s">
        <v>226</v>
      </c>
      <c r="F11" s="175" t="s">
        <v>236</v>
      </c>
      <c r="G11" s="175" t="s">
        <v>237</v>
      </c>
      <c r="H11" s="4"/>
      <c r="I11" s="58"/>
      <c r="J11" s="4"/>
      <c r="K11" s="4"/>
      <c r="L11" s="4"/>
      <c r="M11" s="4"/>
      <c r="O11" s="39" t="s">
        <v>5</v>
      </c>
      <c r="P11" s="40" t="s">
        <v>472</v>
      </c>
      <c r="Q11" s="42"/>
      <c r="R11" s="42"/>
      <c r="S11" s="97">
        <v>2</v>
      </c>
      <c r="T11" s="42" t="s">
        <v>6</v>
      </c>
      <c r="U11" s="97">
        <v>-1</v>
      </c>
      <c r="V11" s="97">
        <v>1</v>
      </c>
      <c r="W11" s="42" t="s">
        <v>7</v>
      </c>
      <c r="X11" s="97">
        <v>1</v>
      </c>
      <c r="Y11" s="42" t="s">
        <v>8</v>
      </c>
      <c r="Z11" s="42"/>
      <c r="AA11" s="42"/>
      <c r="AB11" s="42"/>
      <c r="AC11" s="42"/>
      <c r="AD11" s="42"/>
      <c r="AJ11" s="1"/>
      <c r="AK11" s="1"/>
    </row>
    <row r="12" spans="2:37" x14ac:dyDescent="0.25">
      <c r="B12" s="176"/>
      <c r="C12" s="176"/>
      <c r="D12" s="178" t="s">
        <v>227</v>
      </c>
      <c r="E12" s="178" t="s">
        <v>228</v>
      </c>
      <c r="F12" s="177"/>
      <c r="G12" s="177"/>
      <c r="H12" s="4"/>
      <c r="I12" s="4"/>
      <c r="J12" s="4"/>
      <c r="K12" s="4"/>
      <c r="L12" s="4"/>
      <c r="M12" s="4"/>
      <c r="O12" s="39" t="s">
        <v>49</v>
      </c>
      <c r="P12" s="40" t="s">
        <v>335</v>
      </c>
      <c r="Q12" s="97">
        <v>2</v>
      </c>
      <c r="R12" s="42" t="s">
        <v>25</v>
      </c>
      <c r="S12" s="97">
        <v>2</v>
      </c>
      <c r="T12" s="42"/>
      <c r="U12" s="97">
        <v>1</v>
      </c>
      <c r="V12" s="97">
        <v>5</v>
      </c>
      <c r="W12" s="42" t="s">
        <v>7</v>
      </c>
      <c r="X12" s="97">
        <v>1</v>
      </c>
      <c r="Y12" s="42" t="s">
        <v>50</v>
      </c>
      <c r="Z12" s="42"/>
      <c r="AA12" s="42"/>
      <c r="AB12" s="42"/>
      <c r="AC12" s="42"/>
      <c r="AD12" s="42"/>
    </row>
    <row r="13" spans="2:37" x14ac:dyDescent="0.25">
      <c r="B13" s="177"/>
      <c r="C13" s="177"/>
      <c r="D13" s="180"/>
      <c r="E13" s="180"/>
      <c r="F13" s="4"/>
      <c r="G13" s="4"/>
      <c r="H13" s="4"/>
      <c r="I13" s="4"/>
      <c r="J13" s="12" t="s">
        <v>260</v>
      </c>
      <c r="K13" s="12" t="s">
        <v>266</v>
      </c>
      <c r="L13" s="4"/>
      <c r="M13" s="4"/>
      <c r="O13" s="39" t="s">
        <v>51</v>
      </c>
      <c r="P13" s="40" t="s">
        <v>336</v>
      </c>
      <c r="Q13" s="97">
        <v>2</v>
      </c>
      <c r="R13" s="42" t="s">
        <v>25</v>
      </c>
      <c r="S13" s="97">
        <v>2</v>
      </c>
      <c r="T13" s="42"/>
      <c r="U13" s="97">
        <v>1</v>
      </c>
      <c r="V13" s="97">
        <v>5</v>
      </c>
      <c r="W13" s="42" t="s">
        <v>7</v>
      </c>
      <c r="X13" s="97">
        <v>1</v>
      </c>
      <c r="Y13" s="42" t="s">
        <v>50</v>
      </c>
      <c r="Z13" s="42"/>
      <c r="AA13" s="42"/>
      <c r="AB13" s="42"/>
      <c r="AC13" s="42"/>
      <c r="AD13" s="42"/>
    </row>
    <row r="14" spans="2:37" x14ac:dyDescent="0.25">
      <c r="B14" s="128" t="s">
        <v>238</v>
      </c>
      <c r="C14" s="129"/>
      <c r="D14" s="128" t="s">
        <v>242</v>
      </c>
      <c r="E14" s="129"/>
      <c r="F14" s="153" t="s">
        <v>534</v>
      </c>
      <c r="G14" s="153" t="s">
        <v>247</v>
      </c>
      <c r="H14" s="13" t="s">
        <v>269</v>
      </c>
      <c r="I14" s="13" t="s">
        <v>270</v>
      </c>
      <c r="J14" s="4"/>
      <c r="K14" s="4"/>
      <c r="L14" s="126" t="s">
        <v>257</v>
      </c>
      <c r="M14" s="127"/>
      <c r="O14" s="44" t="s">
        <v>147</v>
      </c>
      <c r="P14" s="45" t="s">
        <v>319</v>
      </c>
      <c r="Q14" s="59">
        <v>2</v>
      </c>
      <c r="R14" s="47" t="s">
        <v>10</v>
      </c>
      <c r="S14" s="47"/>
      <c r="T14" s="47"/>
      <c r="U14" s="59">
        <v>1</v>
      </c>
      <c r="V14" s="59">
        <v>3</v>
      </c>
      <c r="W14" s="47" t="s">
        <v>5</v>
      </c>
      <c r="X14" s="59">
        <v>2</v>
      </c>
      <c r="Y14" s="47"/>
      <c r="Z14" s="47" t="s">
        <v>11</v>
      </c>
      <c r="AA14" s="47"/>
      <c r="AB14" s="47"/>
      <c r="AC14" s="47"/>
      <c r="AD14" s="47"/>
      <c r="AJ14" s="1"/>
    </row>
    <row r="15" spans="2:37" x14ac:dyDescent="0.25">
      <c r="B15" s="149"/>
      <c r="C15" s="150"/>
      <c r="D15" s="149"/>
      <c r="E15" s="150"/>
      <c r="F15" s="155"/>
      <c r="G15" s="155"/>
      <c r="H15" s="14" t="s">
        <v>253</v>
      </c>
      <c r="I15" s="14" t="s">
        <v>254</v>
      </c>
      <c r="J15" s="14" t="s">
        <v>261</v>
      </c>
      <c r="K15" s="14" t="s">
        <v>262</v>
      </c>
      <c r="L15" s="4"/>
      <c r="M15" s="4"/>
      <c r="O15" s="44" t="s">
        <v>148</v>
      </c>
      <c r="P15" s="45" t="s">
        <v>319</v>
      </c>
      <c r="Q15" s="47"/>
      <c r="R15" s="47"/>
      <c r="S15" s="59">
        <v>2</v>
      </c>
      <c r="T15" s="47" t="s">
        <v>13</v>
      </c>
      <c r="U15" s="47"/>
      <c r="V15" s="59">
        <v>2</v>
      </c>
      <c r="W15" s="47"/>
      <c r="X15" s="59">
        <v>2</v>
      </c>
      <c r="Y15" s="47"/>
      <c r="Z15" s="47" t="s">
        <v>14</v>
      </c>
      <c r="AA15" s="47"/>
      <c r="AB15" s="47"/>
      <c r="AC15" s="47"/>
      <c r="AD15" s="47"/>
      <c r="AJ15" s="1"/>
    </row>
    <row r="16" spans="2:37" x14ac:dyDescent="0.25">
      <c r="B16" s="149"/>
      <c r="C16" s="150"/>
      <c r="D16" s="149"/>
      <c r="E16" s="150"/>
      <c r="F16" s="216" t="s">
        <v>249</v>
      </c>
      <c r="G16" s="217"/>
      <c r="H16" s="216" t="s">
        <v>268</v>
      </c>
      <c r="I16" s="217"/>
      <c r="J16" s="216" t="s">
        <v>271</v>
      </c>
      <c r="K16" s="217"/>
      <c r="L16" s="4"/>
      <c r="M16" s="4"/>
      <c r="O16" s="44" t="s">
        <v>152</v>
      </c>
      <c r="P16" s="45" t="s">
        <v>327</v>
      </c>
      <c r="Q16" s="59">
        <v>3</v>
      </c>
      <c r="R16" s="47" t="s">
        <v>10</v>
      </c>
      <c r="S16" s="47"/>
      <c r="T16" s="47"/>
      <c r="U16" s="47"/>
      <c r="V16" s="59">
        <v>3</v>
      </c>
      <c r="W16" s="47"/>
      <c r="X16" s="59">
        <v>2</v>
      </c>
      <c r="Y16" s="47"/>
      <c r="Z16" s="47" t="s">
        <v>28</v>
      </c>
      <c r="AA16" s="47"/>
      <c r="AB16" s="47"/>
      <c r="AC16" s="47"/>
      <c r="AD16" s="47"/>
      <c r="AJ16" s="1"/>
    </row>
    <row r="17" spans="2:36" x14ac:dyDescent="0.25">
      <c r="B17" s="149"/>
      <c r="C17" s="150"/>
      <c r="D17" s="149"/>
      <c r="E17" s="150"/>
      <c r="F17" s="147" t="s">
        <v>250</v>
      </c>
      <c r="G17" s="148"/>
      <c r="H17" s="4"/>
      <c r="I17" s="4"/>
      <c r="J17" s="4"/>
      <c r="K17" s="4"/>
      <c r="L17" s="15" t="s">
        <v>259</v>
      </c>
      <c r="M17" s="15" t="s">
        <v>258</v>
      </c>
      <c r="O17" s="44" t="s">
        <v>153</v>
      </c>
      <c r="P17" s="45" t="s">
        <v>327</v>
      </c>
      <c r="Q17" s="47"/>
      <c r="R17" s="47"/>
      <c r="S17" s="59">
        <v>3</v>
      </c>
      <c r="T17" s="47" t="s">
        <v>13</v>
      </c>
      <c r="U17" s="47"/>
      <c r="V17" s="59">
        <v>3</v>
      </c>
      <c r="W17" s="47" t="s">
        <v>27</v>
      </c>
      <c r="X17" s="59">
        <v>2</v>
      </c>
      <c r="Y17" s="47"/>
      <c r="Z17" s="47" t="s">
        <v>30</v>
      </c>
      <c r="AA17" s="47"/>
      <c r="AB17" s="47"/>
      <c r="AC17" s="47"/>
      <c r="AD17" s="47"/>
      <c r="AJ17" s="1"/>
    </row>
    <row r="18" spans="2:36" x14ac:dyDescent="0.25">
      <c r="B18" s="149"/>
      <c r="C18" s="150"/>
      <c r="D18" s="149"/>
      <c r="E18" s="150"/>
      <c r="F18" s="4"/>
      <c r="G18" s="4"/>
      <c r="H18" s="181" t="s">
        <v>255</v>
      </c>
      <c r="I18" s="182"/>
      <c r="J18" s="4"/>
      <c r="K18" s="4"/>
      <c r="L18" s="147" t="s">
        <v>265</v>
      </c>
      <c r="M18" s="148"/>
      <c r="O18" s="44" t="s">
        <v>156</v>
      </c>
      <c r="P18" s="45" t="s">
        <v>333</v>
      </c>
      <c r="Q18" s="59">
        <v>2</v>
      </c>
      <c r="R18" s="47" t="s">
        <v>10</v>
      </c>
      <c r="S18" s="47"/>
      <c r="T18" s="47"/>
      <c r="U18" s="47"/>
      <c r="V18" s="59">
        <v>2</v>
      </c>
      <c r="W18" s="47"/>
      <c r="X18" s="59">
        <v>2</v>
      </c>
      <c r="Y18" s="47"/>
      <c r="Z18" s="47" t="s">
        <v>11</v>
      </c>
      <c r="AA18" s="47"/>
      <c r="AB18" s="47"/>
      <c r="AC18" s="47"/>
      <c r="AD18" s="47"/>
      <c r="AJ18" s="1"/>
    </row>
    <row r="19" spans="2:36" x14ac:dyDescent="0.25">
      <c r="B19" s="149"/>
      <c r="C19" s="150"/>
      <c r="D19" s="149"/>
      <c r="E19" s="150"/>
      <c r="F19" s="4"/>
      <c r="G19" s="4"/>
      <c r="H19" s="183"/>
      <c r="I19" s="184"/>
      <c r="J19" s="31" t="s">
        <v>263</v>
      </c>
      <c r="K19" s="31" t="s">
        <v>267</v>
      </c>
      <c r="L19" s="32"/>
      <c r="M19" s="32"/>
      <c r="O19" s="44" t="s">
        <v>157</v>
      </c>
      <c r="P19" s="45" t="s">
        <v>333</v>
      </c>
      <c r="Q19" s="47"/>
      <c r="R19" s="47"/>
      <c r="S19" s="59">
        <v>2</v>
      </c>
      <c r="T19" s="47" t="s">
        <v>13</v>
      </c>
      <c r="U19" s="47"/>
      <c r="V19" s="59">
        <v>2</v>
      </c>
      <c r="W19" s="47" t="s">
        <v>27</v>
      </c>
      <c r="X19" s="59">
        <v>2</v>
      </c>
      <c r="Y19" s="47"/>
      <c r="Z19" s="47" t="s">
        <v>14</v>
      </c>
      <c r="AA19" s="47"/>
      <c r="AB19" s="47"/>
      <c r="AC19" s="47"/>
      <c r="AD19" s="47"/>
      <c r="AJ19" s="1"/>
    </row>
    <row r="20" spans="2:36" x14ac:dyDescent="0.25">
      <c r="B20" s="151"/>
      <c r="C20" s="152"/>
      <c r="D20" s="151"/>
      <c r="E20" s="152"/>
      <c r="F20" s="4"/>
      <c r="G20" s="4"/>
      <c r="H20" s="185"/>
      <c r="I20" s="186"/>
      <c r="J20" s="187" t="s">
        <v>264</v>
      </c>
      <c r="K20" s="188"/>
      <c r="L20" s="4"/>
      <c r="M20" s="4"/>
      <c r="O20" s="44" t="s">
        <v>169</v>
      </c>
      <c r="P20" s="45" t="s">
        <v>82</v>
      </c>
      <c r="Q20" s="59">
        <v>2</v>
      </c>
      <c r="R20" s="47" t="s">
        <v>25</v>
      </c>
      <c r="S20" s="59">
        <v>4</v>
      </c>
      <c r="T20" s="47"/>
      <c r="U20" s="59">
        <v>1</v>
      </c>
      <c r="V20" s="59">
        <v>7</v>
      </c>
      <c r="W20" s="47" t="s">
        <v>49</v>
      </c>
      <c r="X20" s="59">
        <v>2</v>
      </c>
      <c r="Y20" s="47"/>
      <c r="Z20" s="47" t="s">
        <v>52</v>
      </c>
      <c r="AA20" s="47"/>
      <c r="AB20" s="47"/>
      <c r="AC20" s="47"/>
      <c r="AD20" s="47"/>
    </row>
    <row r="21" spans="2:36" x14ac:dyDescent="0.25">
      <c r="B21" s="199" t="s">
        <v>239</v>
      </c>
      <c r="C21" s="200"/>
      <c r="D21" s="4"/>
      <c r="E21" s="4"/>
      <c r="F21" s="4"/>
      <c r="G21" s="4"/>
      <c r="H21" s="4"/>
      <c r="I21" s="4"/>
      <c r="J21" s="191"/>
      <c r="K21" s="192"/>
      <c r="L21" s="4"/>
      <c r="M21" s="4"/>
      <c r="O21" s="44" t="s">
        <v>174</v>
      </c>
      <c r="P21" s="45" t="s">
        <v>473</v>
      </c>
      <c r="Q21" s="59">
        <v>2</v>
      </c>
      <c r="R21" s="47" t="s">
        <v>25</v>
      </c>
      <c r="S21" s="47"/>
      <c r="T21" s="47"/>
      <c r="U21" s="59">
        <v>1</v>
      </c>
      <c r="V21" s="59">
        <v>3</v>
      </c>
      <c r="W21" s="47" t="s">
        <v>7</v>
      </c>
      <c r="X21" s="59">
        <v>2</v>
      </c>
      <c r="Y21" s="47"/>
      <c r="Z21" s="47" t="s">
        <v>175</v>
      </c>
      <c r="AA21" s="47"/>
      <c r="AB21" s="47"/>
      <c r="AC21" s="47"/>
      <c r="AD21" s="47"/>
    </row>
    <row r="22" spans="2:36" x14ac:dyDescent="0.25">
      <c r="B22" s="201" t="s">
        <v>240</v>
      </c>
      <c r="C22" s="202"/>
      <c r="D22" s="4"/>
      <c r="E22" s="4"/>
      <c r="F22" s="4"/>
      <c r="G22" s="4"/>
      <c r="H22" s="4"/>
      <c r="I22" s="4"/>
      <c r="J22" s="4"/>
      <c r="K22" s="4"/>
      <c r="L22" s="4"/>
      <c r="M22" s="4"/>
      <c r="O22" s="39" t="s">
        <v>138</v>
      </c>
      <c r="P22" s="40" t="s">
        <v>322</v>
      </c>
      <c r="Q22" s="97">
        <v>2</v>
      </c>
      <c r="R22" s="42" t="s">
        <v>10</v>
      </c>
      <c r="S22" s="42"/>
      <c r="T22" s="42"/>
      <c r="U22" s="42"/>
      <c r="V22" s="97">
        <v>2</v>
      </c>
      <c r="W22" s="42" t="s">
        <v>143</v>
      </c>
      <c r="X22" s="97">
        <v>3</v>
      </c>
      <c r="Y22" s="42"/>
      <c r="Z22" s="42"/>
      <c r="AA22" s="42" t="s">
        <v>11</v>
      </c>
      <c r="AB22" s="42"/>
      <c r="AC22" s="42"/>
      <c r="AD22" s="42"/>
    </row>
    <row r="23" spans="2:36" x14ac:dyDescent="0.25">
      <c r="B23" s="140" t="s">
        <v>241</v>
      </c>
      <c r="C23" s="141"/>
      <c r="D23" s="4"/>
      <c r="E23" s="4"/>
      <c r="F23" s="25"/>
      <c r="G23" s="25"/>
      <c r="H23" s="25"/>
      <c r="I23" s="25"/>
      <c r="J23" s="25"/>
      <c r="K23" s="23"/>
      <c r="L23" s="23"/>
      <c r="M23" s="23"/>
      <c r="O23" s="39" t="s">
        <v>142</v>
      </c>
      <c r="P23" s="40" t="s">
        <v>322</v>
      </c>
      <c r="Q23" s="42"/>
      <c r="R23" s="42"/>
      <c r="S23" s="97">
        <v>2</v>
      </c>
      <c r="T23" s="42" t="s">
        <v>13</v>
      </c>
      <c r="U23" s="42"/>
      <c r="V23" s="97">
        <v>2</v>
      </c>
      <c r="W23" s="42" t="s">
        <v>143</v>
      </c>
      <c r="X23" s="97">
        <v>3</v>
      </c>
      <c r="Y23" s="42"/>
      <c r="Z23" s="42"/>
      <c r="AA23" s="42" t="s">
        <v>14</v>
      </c>
      <c r="AB23" s="42"/>
      <c r="AC23" s="42"/>
      <c r="AD23" s="42"/>
    </row>
    <row r="24" spans="2:36" x14ac:dyDescent="0.25">
      <c r="B24" s="4"/>
      <c r="C24" s="4"/>
      <c r="D24" s="212" t="s">
        <v>245</v>
      </c>
      <c r="E24" s="213"/>
      <c r="F24" s="25"/>
      <c r="G24" s="25"/>
      <c r="H24" s="24"/>
      <c r="I24" s="25"/>
      <c r="J24" s="23"/>
      <c r="K24" s="25"/>
      <c r="L24" s="25"/>
      <c r="M24" s="25"/>
      <c r="O24" s="39" t="s">
        <v>149</v>
      </c>
      <c r="P24" s="40" t="s">
        <v>320</v>
      </c>
      <c r="Q24" s="97">
        <v>2</v>
      </c>
      <c r="R24" s="42" t="s">
        <v>10</v>
      </c>
      <c r="S24" s="42"/>
      <c r="T24" s="42"/>
      <c r="U24" s="97">
        <v>1</v>
      </c>
      <c r="V24" s="97">
        <v>3</v>
      </c>
      <c r="W24" s="42"/>
      <c r="X24" s="97">
        <v>3</v>
      </c>
      <c r="Y24" s="42"/>
      <c r="Z24" s="42"/>
      <c r="AA24" s="42" t="s">
        <v>11</v>
      </c>
      <c r="AB24" s="42"/>
      <c r="AC24" s="42"/>
      <c r="AD24" s="42"/>
    </row>
    <row r="25" spans="2:36" x14ac:dyDescent="0.25">
      <c r="B25" s="197" t="s">
        <v>547</v>
      </c>
      <c r="C25" s="198"/>
      <c r="D25" s="25"/>
      <c r="E25" s="25"/>
      <c r="F25" s="25"/>
      <c r="G25" s="25"/>
      <c r="H25" s="24"/>
      <c r="I25" s="25"/>
      <c r="J25" s="35"/>
      <c r="K25" s="25"/>
      <c r="L25" s="25"/>
      <c r="M25" s="25"/>
      <c r="O25" s="39" t="s">
        <v>150</v>
      </c>
      <c r="P25" s="40" t="s">
        <v>320</v>
      </c>
      <c r="Q25" s="42"/>
      <c r="R25" s="42"/>
      <c r="S25" s="97">
        <v>2</v>
      </c>
      <c r="T25" s="42" t="s">
        <v>13</v>
      </c>
      <c r="U25" s="42"/>
      <c r="V25" s="97">
        <v>2</v>
      </c>
      <c r="W25" s="98" t="s">
        <v>147</v>
      </c>
      <c r="X25" s="97">
        <v>3</v>
      </c>
      <c r="Y25" s="42"/>
      <c r="Z25" s="42"/>
      <c r="AA25" s="42" t="s">
        <v>14</v>
      </c>
      <c r="AB25" s="42"/>
      <c r="AC25" s="42"/>
      <c r="AD25" s="42"/>
    </row>
    <row r="26" spans="2:36" x14ac:dyDescent="0.25">
      <c r="O26" s="39" t="s">
        <v>158</v>
      </c>
      <c r="P26" s="40" t="s">
        <v>331</v>
      </c>
      <c r="Q26" s="97">
        <v>2</v>
      </c>
      <c r="R26" s="42" t="s">
        <v>10</v>
      </c>
      <c r="S26" s="42"/>
      <c r="T26" s="42"/>
      <c r="U26" s="42"/>
      <c r="V26" s="97">
        <v>2</v>
      </c>
      <c r="W26" s="98"/>
      <c r="X26" s="97">
        <v>3</v>
      </c>
      <c r="Y26" s="42"/>
      <c r="Z26" s="42"/>
      <c r="AA26" s="42" t="s">
        <v>11</v>
      </c>
      <c r="AB26" s="42"/>
      <c r="AC26" s="42"/>
      <c r="AD26" s="42"/>
    </row>
    <row r="27" spans="2:36" x14ac:dyDescent="0.25">
      <c r="B27" s="142">
        <f>SUM(V3:V13)</f>
        <v>27</v>
      </c>
      <c r="C27" s="143"/>
      <c r="D27" s="144">
        <f>SUM(V14:V21)</f>
        <v>25</v>
      </c>
      <c r="E27" s="120"/>
      <c r="F27" s="144">
        <f>SUM(V22:V31)+1</f>
        <v>30</v>
      </c>
      <c r="G27" s="120"/>
      <c r="H27" s="144">
        <f>SUM(V32:V41)</f>
        <v>32</v>
      </c>
      <c r="I27" s="120"/>
      <c r="J27" s="144">
        <f>SUM(V42:V52)</f>
        <v>28</v>
      </c>
      <c r="K27" s="120"/>
      <c r="L27" s="144">
        <f>SUM(V53:V56)</f>
        <v>10</v>
      </c>
      <c r="M27" s="144"/>
      <c r="O27" s="39" t="s">
        <v>192</v>
      </c>
      <c r="P27" s="40" t="s">
        <v>331</v>
      </c>
      <c r="Q27" s="42"/>
      <c r="R27" s="42"/>
      <c r="S27" s="97">
        <v>2</v>
      </c>
      <c r="T27" s="42" t="s">
        <v>13</v>
      </c>
      <c r="U27" s="42"/>
      <c r="V27" s="97">
        <v>2</v>
      </c>
      <c r="W27" s="42" t="s">
        <v>159</v>
      </c>
      <c r="X27" s="97">
        <v>3</v>
      </c>
      <c r="Y27" s="42"/>
      <c r="Z27" s="42"/>
      <c r="AA27" s="42" t="s">
        <v>14</v>
      </c>
      <c r="AB27" s="42"/>
      <c r="AC27" s="42"/>
      <c r="AD27" s="42"/>
    </row>
    <row r="28" spans="2:36" x14ac:dyDescent="0.25">
      <c r="O28" s="39" t="s">
        <v>162</v>
      </c>
      <c r="P28" s="40" t="s">
        <v>323</v>
      </c>
      <c r="Q28" s="97">
        <v>2</v>
      </c>
      <c r="R28" s="42" t="s">
        <v>10</v>
      </c>
      <c r="S28" s="42"/>
      <c r="T28" s="42"/>
      <c r="U28" s="97">
        <v>1</v>
      </c>
      <c r="V28" s="97">
        <v>3</v>
      </c>
      <c r="W28" s="42"/>
      <c r="X28" s="97">
        <v>3</v>
      </c>
      <c r="Y28" s="42"/>
      <c r="Z28" s="42"/>
      <c r="AA28" s="42" t="s">
        <v>11</v>
      </c>
      <c r="AB28" s="42"/>
      <c r="AC28" s="42"/>
      <c r="AD28" s="42"/>
    </row>
    <row r="29" spans="2:36" x14ac:dyDescent="0.25">
      <c r="B29" s="172" t="s">
        <v>456</v>
      </c>
      <c r="C29" s="172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O29" s="39" t="s">
        <v>193</v>
      </c>
      <c r="P29" s="40" t="s">
        <v>323</v>
      </c>
      <c r="Q29" s="42"/>
      <c r="R29" s="42"/>
      <c r="S29" s="97">
        <v>2</v>
      </c>
      <c r="T29" s="42" t="s">
        <v>13</v>
      </c>
      <c r="U29" s="42"/>
      <c r="V29" s="97">
        <v>2</v>
      </c>
      <c r="W29" s="98" t="s">
        <v>163</v>
      </c>
      <c r="X29" s="97">
        <v>3</v>
      </c>
      <c r="Y29" s="42"/>
      <c r="Z29" s="42"/>
      <c r="AA29" s="42" t="s">
        <v>14</v>
      </c>
      <c r="AB29" s="42"/>
      <c r="AC29" s="42"/>
      <c r="AD29" s="42"/>
    </row>
    <row r="30" spans="2:36" x14ac:dyDescent="0.25">
      <c r="B30" s="172" t="s">
        <v>459</v>
      </c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O30" s="39" t="s">
        <v>168</v>
      </c>
      <c r="P30" s="40" t="s">
        <v>338</v>
      </c>
      <c r="Q30" s="97">
        <v>2</v>
      </c>
      <c r="R30" s="42" t="s">
        <v>25</v>
      </c>
      <c r="S30" s="97">
        <v>2</v>
      </c>
      <c r="T30" s="42"/>
      <c r="U30" s="97">
        <v>1</v>
      </c>
      <c r="V30" s="97">
        <v>5</v>
      </c>
      <c r="W30" s="42" t="s">
        <v>169</v>
      </c>
      <c r="X30" s="97">
        <v>3</v>
      </c>
      <c r="Y30" s="42"/>
      <c r="Z30" s="42"/>
      <c r="AA30" s="42" t="s">
        <v>50</v>
      </c>
      <c r="AB30" s="42"/>
      <c r="AC30" s="42"/>
      <c r="AD30" s="42"/>
    </row>
    <row r="31" spans="2:36" x14ac:dyDescent="0.25">
      <c r="B31" s="172" t="s">
        <v>460</v>
      </c>
      <c r="C31" s="172"/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O31" s="39" t="s">
        <v>171</v>
      </c>
      <c r="P31" s="40" t="s">
        <v>339</v>
      </c>
      <c r="Q31" s="97">
        <v>3</v>
      </c>
      <c r="R31" s="42" t="s">
        <v>25</v>
      </c>
      <c r="S31" s="97">
        <v>2</v>
      </c>
      <c r="T31" s="42"/>
      <c r="U31" s="97">
        <v>1</v>
      </c>
      <c r="V31" s="97">
        <v>6</v>
      </c>
      <c r="W31" s="42" t="s">
        <v>169</v>
      </c>
      <c r="X31" s="97">
        <v>3</v>
      </c>
      <c r="Y31" s="42"/>
      <c r="Z31" s="42"/>
      <c r="AA31" s="42" t="s">
        <v>172</v>
      </c>
      <c r="AB31" s="42"/>
      <c r="AC31" s="42"/>
      <c r="AD31" s="42"/>
    </row>
    <row r="32" spans="2:36" x14ac:dyDescent="0.25">
      <c r="B32" s="172" t="s">
        <v>465</v>
      </c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O32" s="44" t="s">
        <v>136</v>
      </c>
      <c r="P32" s="45" t="s">
        <v>344</v>
      </c>
      <c r="Q32" s="59">
        <v>2</v>
      </c>
      <c r="R32" s="47" t="s">
        <v>10</v>
      </c>
      <c r="S32" s="47"/>
      <c r="T32" s="47"/>
      <c r="U32" s="59">
        <v>1</v>
      </c>
      <c r="V32" s="59">
        <v>3</v>
      </c>
      <c r="W32" s="47"/>
      <c r="X32" s="59">
        <v>4</v>
      </c>
      <c r="Y32" s="47"/>
      <c r="Z32" s="47"/>
      <c r="AA32" s="47"/>
      <c r="AB32" s="47" t="s">
        <v>11</v>
      </c>
      <c r="AC32" s="47"/>
      <c r="AD32" s="47"/>
    </row>
    <row r="33" spans="2:30" x14ac:dyDescent="0.25">
      <c r="B33" s="172" t="s">
        <v>457</v>
      </c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O33" s="44" t="s">
        <v>137</v>
      </c>
      <c r="P33" s="45" t="s">
        <v>344</v>
      </c>
      <c r="Q33" s="47"/>
      <c r="R33" s="47"/>
      <c r="S33" s="59">
        <v>2</v>
      </c>
      <c r="T33" s="47" t="s">
        <v>13</v>
      </c>
      <c r="U33" s="47"/>
      <c r="V33" s="59">
        <v>2</v>
      </c>
      <c r="W33" s="47" t="s">
        <v>138</v>
      </c>
      <c r="X33" s="59">
        <v>4</v>
      </c>
      <c r="Y33" s="47"/>
      <c r="Z33" s="47"/>
      <c r="AA33" s="47"/>
      <c r="AB33" s="47" t="s">
        <v>14</v>
      </c>
      <c r="AC33" s="47"/>
      <c r="AD33" s="47"/>
    </row>
    <row r="34" spans="2:30" x14ac:dyDescent="0.25">
      <c r="B34" s="172" t="s">
        <v>458</v>
      </c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O34" s="44" t="s">
        <v>141</v>
      </c>
      <c r="P34" s="45" t="s">
        <v>332</v>
      </c>
      <c r="Q34" s="59">
        <v>2</v>
      </c>
      <c r="R34" s="47" t="s">
        <v>10</v>
      </c>
      <c r="S34" s="47"/>
      <c r="T34" s="47"/>
      <c r="U34" s="59">
        <v>1</v>
      </c>
      <c r="V34" s="59">
        <v>3</v>
      </c>
      <c r="W34" s="47"/>
      <c r="X34" s="59">
        <v>4</v>
      </c>
      <c r="Y34" s="47"/>
      <c r="Z34" s="47"/>
      <c r="AA34" s="47"/>
      <c r="AB34" s="47" t="s">
        <v>11</v>
      </c>
      <c r="AC34" s="47"/>
      <c r="AD34" s="47"/>
    </row>
    <row r="35" spans="2:30" x14ac:dyDescent="0.25">
      <c r="B35" s="172" t="s">
        <v>461</v>
      </c>
      <c r="C35" s="172"/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O35" s="44" t="s">
        <v>144</v>
      </c>
      <c r="P35" s="45" t="s">
        <v>332</v>
      </c>
      <c r="Q35" s="47"/>
      <c r="R35" s="47"/>
      <c r="S35" s="59">
        <v>2</v>
      </c>
      <c r="T35" s="47" t="s">
        <v>13</v>
      </c>
      <c r="U35" s="47"/>
      <c r="V35" s="59">
        <v>2</v>
      </c>
      <c r="W35" s="47" t="s">
        <v>138</v>
      </c>
      <c r="X35" s="59">
        <v>4</v>
      </c>
      <c r="Y35" s="47"/>
      <c r="Z35" s="47"/>
      <c r="AA35" s="47"/>
      <c r="AB35" s="47" t="s">
        <v>14</v>
      </c>
      <c r="AC35" s="47"/>
      <c r="AD35" s="47"/>
    </row>
    <row r="36" spans="2:30" x14ac:dyDescent="0.25">
      <c r="B36" s="172" t="s">
        <v>463</v>
      </c>
      <c r="C36" s="172"/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O36" s="44" t="s">
        <v>151</v>
      </c>
      <c r="P36" s="45" t="s">
        <v>321</v>
      </c>
      <c r="Q36" s="59">
        <v>1</v>
      </c>
      <c r="R36" s="47" t="s">
        <v>25</v>
      </c>
      <c r="S36" s="59">
        <v>2</v>
      </c>
      <c r="T36" s="47"/>
      <c r="U36" s="59">
        <v>1</v>
      </c>
      <c r="V36" s="59">
        <v>4</v>
      </c>
      <c r="W36" s="47" t="s">
        <v>149</v>
      </c>
      <c r="X36" s="59">
        <v>4</v>
      </c>
      <c r="Y36" s="47"/>
      <c r="Z36" s="47"/>
      <c r="AA36" s="47"/>
      <c r="AB36" s="47" t="s">
        <v>26</v>
      </c>
      <c r="AC36" s="47"/>
      <c r="AD36" s="47"/>
    </row>
    <row r="37" spans="2:30" x14ac:dyDescent="0.25">
      <c r="B37" s="193" t="s">
        <v>464</v>
      </c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O37" s="44" t="s">
        <v>164</v>
      </c>
      <c r="P37" s="45" t="s">
        <v>324</v>
      </c>
      <c r="Q37" s="47"/>
      <c r="R37" s="47"/>
      <c r="S37" s="59">
        <v>2</v>
      </c>
      <c r="T37" s="47" t="s">
        <v>13</v>
      </c>
      <c r="U37" s="59">
        <v>2</v>
      </c>
      <c r="V37" s="59">
        <v>4</v>
      </c>
      <c r="W37" s="47" t="s">
        <v>162</v>
      </c>
      <c r="X37" s="59">
        <v>4</v>
      </c>
      <c r="Y37" s="47"/>
      <c r="Z37" s="47"/>
      <c r="AA37" s="47"/>
      <c r="AB37" s="47" t="s">
        <v>14</v>
      </c>
      <c r="AC37" s="47"/>
      <c r="AD37" s="47"/>
    </row>
    <row r="38" spans="2:30" x14ac:dyDescent="0.25"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O38" s="44" t="s">
        <v>170</v>
      </c>
      <c r="P38" s="45" t="s">
        <v>337</v>
      </c>
      <c r="Q38" s="59">
        <v>2</v>
      </c>
      <c r="R38" s="47" t="s">
        <v>25</v>
      </c>
      <c r="S38" s="59">
        <v>2</v>
      </c>
      <c r="T38" s="47"/>
      <c r="U38" s="59">
        <v>1</v>
      </c>
      <c r="V38" s="59">
        <v>5</v>
      </c>
      <c r="W38" s="47" t="s">
        <v>169</v>
      </c>
      <c r="X38" s="59">
        <v>4</v>
      </c>
      <c r="Y38" s="47"/>
      <c r="Z38" s="47"/>
      <c r="AA38" s="47"/>
      <c r="AB38" s="47" t="s">
        <v>50</v>
      </c>
      <c r="AC38" s="47"/>
      <c r="AD38" s="47"/>
    </row>
    <row r="39" spans="2:30" x14ac:dyDescent="0.25">
      <c r="B39" s="172" t="s">
        <v>462</v>
      </c>
      <c r="C39" s="172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O39" s="44" t="s">
        <v>146</v>
      </c>
      <c r="P39" s="45" t="s">
        <v>340</v>
      </c>
      <c r="Q39" s="59">
        <v>2</v>
      </c>
      <c r="R39" s="47" t="s">
        <v>25</v>
      </c>
      <c r="S39" s="59">
        <v>1</v>
      </c>
      <c r="T39" s="47"/>
      <c r="U39" s="59">
        <v>1</v>
      </c>
      <c r="V39" s="59">
        <v>4</v>
      </c>
      <c r="W39" s="47" t="s">
        <v>171</v>
      </c>
      <c r="X39" s="59">
        <v>4</v>
      </c>
      <c r="Y39" s="47"/>
      <c r="Z39" s="47"/>
      <c r="AA39" s="47"/>
      <c r="AB39" s="47" t="s">
        <v>55</v>
      </c>
      <c r="AC39" s="47"/>
      <c r="AD39" s="47"/>
    </row>
    <row r="40" spans="2:30" x14ac:dyDescent="0.25">
      <c r="B40" s="172" t="s">
        <v>535</v>
      </c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O40" s="44" t="s">
        <v>194</v>
      </c>
      <c r="P40" s="45" t="s">
        <v>346</v>
      </c>
      <c r="Q40" s="59">
        <v>2</v>
      </c>
      <c r="R40" s="47" t="s">
        <v>10</v>
      </c>
      <c r="S40" s="47"/>
      <c r="T40" s="47"/>
      <c r="U40" s="59">
        <v>1</v>
      </c>
      <c r="V40" s="59">
        <v>3</v>
      </c>
      <c r="W40" s="47" t="s">
        <v>474</v>
      </c>
      <c r="X40" s="59">
        <v>4</v>
      </c>
      <c r="Y40" s="47"/>
      <c r="Z40" s="47"/>
      <c r="AA40" s="47"/>
      <c r="AB40" s="47" t="s">
        <v>11</v>
      </c>
      <c r="AC40" s="47"/>
      <c r="AD40" s="47"/>
    </row>
    <row r="41" spans="2:30" x14ac:dyDescent="0.25">
      <c r="O41" s="44" t="s">
        <v>195</v>
      </c>
      <c r="P41" s="45" t="s">
        <v>346</v>
      </c>
      <c r="Q41" s="47"/>
      <c r="R41" s="47"/>
      <c r="S41" s="59">
        <v>2</v>
      </c>
      <c r="T41" s="47" t="s">
        <v>13</v>
      </c>
      <c r="U41" s="47"/>
      <c r="V41" s="59">
        <v>2</v>
      </c>
      <c r="W41" s="47" t="s">
        <v>475</v>
      </c>
      <c r="X41" s="59">
        <v>4</v>
      </c>
      <c r="Y41" s="47"/>
      <c r="Z41" s="47"/>
      <c r="AA41" s="47"/>
      <c r="AB41" s="47" t="s">
        <v>14</v>
      </c>
      <c r="AC41" s="47"/>
      <c r="AD41" s="47"/>
    </row>
    <row r="42" spans="2:30" x14ac:dyDescent="0.25">
      <c r="O42" s="39" t="s">
        <v>139</v>
      </c>
      <c r="P42" s="40" t="s">
        <v>345</v>
      </c>
      <c r="Q42" s="97">
        <v>2</v>
      </c>
      <c r="R42" s="42" t="s">
        <v>10</v>
      </c>
      <c r="S42" s="42"/>
      <c r="T42" s="42"/>
      <c r="U42" s="97">
        <v>1</v>
      </c>
      <c r="V42" s="97">
        <v>3</v>
      </c>
      <c r="W42" s="42"/>
      <c r="X42" s="97">
        <v>5</v>
      </c>
      <c r="Y42" s="42"/>
      <c r="Z42" s="42"/>
      <c r="AA42" s="42"/>
      <c r="AB42" s="42"/>
      <c r="AC42" s="42" t="s">
        <v>11</v>
      </c>
      <c r="AD42" s="42"/>
    </row>
    <row r="43" spans="2:30" x14ac:dyDescent="0.25">
      <c r="O43" s="39" t="s">
        <v>140</v>
      </c>
      <c r="P43" s="40" t="s">
        <v>345</v>
      </c>
      <c r="Q43" s="42"/>
      <c r="R43" s="42"/>
      <c r="S43" s="97">
        <v>2</v>
      </c>
      <c r="T43" s="42" t="s">
        <v>13</v>
      </c>
      <c r="U43" s="42"/>
      <c r="V43" s="97">
        <v>2</v>
      </c>
      <c r="W43" s="42" t="s">
        <v>136</v>
      </c>
      <c r="X43" s="97">
        <v>5</v>
      </c>
      <c r="Y43" s="42"/>
      <c r="Z43" s="42"/>
      <c r="AA43" s="42"/>
      <c r="AB43" s="42"/>
      <c r="AC43" s="42" t="s">
        <v>14</v>
      </c>
      <c r="AD43" s="42"/>
    </row>
    <row r="44" spans="2:30" x14ac:dyDescent="0.25">
      <c r="O44" s="39" t="s">
        <v>145</v>
      </c>
      <c r="P44" s="40" t="s">
        <v>476</v>
      </c>
      <c r="Q44" s="42"/>
      <c r="R44" s="42"/>
      <c r="S44" s="97">
        <v>2</v>
      </c>
      <c r="T44" s="42" t="s">
        <v>13</v>
      </c>
      <c r="U44" s="42"/>
      <c r="V44" s="97">
        <v>2</v>
      </c>
      <c r="W44" s="42" t="s">
        <v>146</v>
      </c>
      <c r="X44" s="97">
        <v>5</v>
      </c>
      <c r="Y44" s="42"/>
      <c r="Z44" s="42"/>
      <c r="AA44" s="42"/>
      <c r="AB44" s="42"/>
      <c r="AC44" s="42" t="s">
        <v>14</v>
      </c>
      <c r="AD44" s="42"/>
    </row>
    <row r="45" spans="2:30" x14ac:dyDescent="0.25">
      <c r="O45" s="39" t="s">
        <v>154</v>
      </c>
      <c r="P45" s="40" t="s">
        <v>81</v>
      </c>
      <c r="Q45" s="97">
        <v>2</v>
      </c>
      <c r="R45" s="42" t="s">
        <v>10</v>
      </c>
      <c r="S45" s="42"/>
      <c r="T45" s="42"/>
      <c r="U45" s="97">
        <v>1</v>
      </c>
      <c r="V45" s="97">
        <v>3</v>
      </c>
      <c r="W45" s="42" t="s">
        <v>7</v>
      </c>
      <c r="X45" s="97">
        <v>5</v>
      </c>
      <c r="Y45" s="42"/>
      <c r="Z45" s="42"/>
      <c r="AA45" s="42"/>
      <c r="AB45" s="42"/>
      <c r="AC45" s="42" t="s">
        <v>11</v>
      </c>
      <c r="AD45" s="42"/>
    </row>
    <row r="46" spans="2:30" x14ac:dyDescent="0.25">
      <c r="O46" s="39" t="s">
        <v>196</v>
      </c>
      <c r="P46" s="40" t="s">
        <v>81</v>
      </c>
      <c r="Q46" s="42"/>
      <c r="R46" s="42"/>
      <c r="S46" s="97">
        <v>2</v>
      </c>
      <c r="T46" s="42" t="s">
        <v>13</v>
      </c>
      <c r="U46" s="42"/>
      <c r="V46" s="97">
        <v>2</v>
      </c>
      <c r="W46" s="42" t="s">
        <v>155</v>
      </c>
      <c r="X46" s="97">
        <v>5</v>
      </c>
      <c r="Y46" s="42"/>
      <c r="Z46" s="42"/>
      <c r="AA46" s="42"/>
      <c r="AB46" s="42"/>
      <c r="AC46" s="42" t="s">
        <v>14</v>
      </c>
      <c r="AD46" s="42"/>
    </row>
    <row r="47" spans="2:30" x14ac:dyDescent="0.25">
      <c r="O47" s="39" t="s">
        <v>161</v>
      </c>
      <c r="P47" s="40" t="s">
        <v>325</v>
      </c>
      <c r="Q47" s="42"/>
      <c r="R47" s="42"/>
      <c r="S47" s="97">
        <v>2</v>
      </c>
      <c r="T47" s="42" t="s">
        <v>13</v>
      </c>
      <c r="U47" s="97">
        <v>1</v>
      </c>
      <c r="V47" s="97">
        <v>3</v>
      </c>
      <c r="W47" s="42" t="s">
        <v>151</v>
      </c>
      <c r="X47" s="97">
        <v>5</v>
      </c>
      <c r="Y47" s="42"/>
      <c r="Z47" s="42"/>
      <c r="AA47" s="42"/>
      <c r="AB47" s="42"/>
      <c r="AC47" s="42" t="s">
        <v>14</v>
      </c>
      <c r="AD47" s="42"/>
    </row>
    <row r="48" spans="2:30" x14ac:dyDescent="0.25">
      <c r="O48" s="39" t="s">
        <v>197</v>
      </c>
      <c r="P48" s="40" t="s">
        <v>341</v>
      </c>
      <c r="Q48" s="97">
        <v>2</v>
      </c>
      <c r="R48" s="42" t="s">
        <v>25</v>
      </c>
      <c r="S48" s="97">
        <v>1</v>
      </c>
      <c r="T48" s="42"/>
      <c r="U48" s="97">
        <v>1</v>
      </c>
      <c r="V48" s="97">
        <v>4</v>
      </c>
      <c r="W48" s="42" t="s">
        <v>165</v>
      </c>
      <c r="X48" s="97">
        <v>5</v>
      </c>
      <c r="Y48" s="42"/>
      <c r="Z48" s="42"/>
      <c r="AA48" s="42"/>
      <c r="AB48" s="42"/>
      <c r="AC48" s="42" t="s">
        <v>55</v>
      </c>
      <c r="AD48" s="42"/>
    </row>
    <row r="49" spans="15:30" x14ac:dyDescent="0.25">
      <c r="O49" s="39" t="s">
        <v>198</v>
      </c>
      <c r="P49" s="40" t="s">
        <v>342</v>
      </c>
      <c r="Q49" s="97">
        <v>2</v>
      </c>
      <c r="R49" s="42" t="s">
        <v>10</v>
      </c>
      <c r="S49" s="42"/>
      <c r="T49" s="42"/>
      <c r="U49" s="97">
        <v>1</v>
      </c>
      <c r="V49" s="97">
        <v>3</v>
      </c>
      <c r="W49" s="42" t="s">
        <v>176</v>
      </c>
      <c r="X49" s="97">
        <v>5</v>
      </c>
      <c r="Y49" s="42"/>
      <c r="Z49" s="42"/>
      <c r="AA49" s="42"/>
      <c r="AB49" s="42"/>
      <c r="AC49" s="42" t="s">
        <v>11</v>
      </c>
      <c r="AD49" s="42"/>
    </row>
    <row r="50" spans="15:30" x14ac:dyDescent="0.25">
      <c r="O50" s="39" t="s">
        <v>177</v>
      </c>
      <c r="P50" s="40" t="s">
        <v>342</v>
      </c>
      <c r="Q50" s="42"/>
      <c r="R50" s="42"/>
      <c r="S50" s="97">
        <v>2</v>
      </c>
      <c r="T50" s="42" t="s">
        <v>13</v>
      </c>
      <c r="U50" s="42"/>
      <c r="V50" s="97">
        <v>2</v>
      </c>
      <c r="W50" s="42" t="s">
        <v>7</v>
      </c>
      <c r="X50" s="97">
        <v>5</v>
      </c>
      <c r="Y50" s="42"/>
      <c r="Z50" s="42"/>
      <c r="AA50" s="42"/>
      <c r="AB50" s="42"/>
      <c r="AC50" s="42" t="s">
        <v>14</v>
      </c>
      <c r="AD50" s="42"/>
    </row>
    <row r="51" spans="15:30" x14ac:dyDescent="0.25">
      <c r="O51" s="39" t="s">
        <v>178</v>
      </c>
      <c r="P51" s="40" t="s">
        <v>454</v>
      </c>
      <c r="Q51" s="97">
        <v>2</v>
      </c>
      <c r="R51" s="42" t="s">
        <v>10</v>
      </c>
      <c r="S51" s="42"/>
      <c r="T51" s="42"/>
      <c r="U51" s="42"/>
      <c r="V51" s="97">
        <v>2</v>
      </c>
      <c r="W51" s="42"/>
      <c r="X51" s="97">
        <v>5</v>
      </c>
      <c r="Y51" s="42"/>
      <c r="Z51" s="42"/>
      <c r="AA51" s="42"/>
      <c r="AB51" s="42"/>
      <c r="AC51" s="42" t="s">
        <v>11</v>
      </c>
      <c r="AD51" s="42"/>
    </row>
    <row r="52" spans="15:30" x14ac:dyDescent="0.25">
      <c r="O52" s="39" t="s">
        <v>179</v>
      </c>
      <c r="P52" s="40" t="s">
        <v>454</v>
      </c>
      <c r="Q52" s="42"/>
      <c r="R52" s="42"/>
      <c r="S52" s="97">
        <v>2</v>
      </c>
      <c r="T52" s="42" t="s">
        <v>13</v>
      </c>
      <c r="U52" s="42"/>
      <c r="V52" s="97">
        <v>2</v>
      </c>
      <c r="W52" s="42" t="s">
        <v>149</v>
      </c>
      <c r="X52" s="97">
        <v>5</v>
      </c>
      <c r="Y52" s="42"/>
      <c r="Z52" s="42"/>
      <c r="AA52" s="42"/>
      <c r="AB52" s="42"/>
      <c r="AC52" s="42" t="s">
        <v>14</v>
      </c>
      <c r="AD52" s="42"/>
    </row>
    <row r="53" spans="15:30" x14ac:dyDescent="0.25">
      <c r="O53" s="44" t="s">
        <v>160</v>
      </c>
      <c r="P53" s="45" t="s">
        <v>334</v>
      </c>
      <c r="Q53" s="59">
        <v>2</v>
      </c>
      <c r="R53" s="47" t="s">
        <v>10</v>
      </c>
      <c r="S53" s="47"/>
      <c r="T53" s="47"/>
      <c r="U53" s="59">
        <v>1</v>
      </c>
      <c r="V53" s="59">
        <v>3</v>
      </c>
      <c r="W53" s="47" t="s">
        <v>141</v>
      </c>
      <c r="X53" s="59">
        <v>6</v>
      </c>
      <c r="Y53" s="47"/>
      <c r="Z53" s="47"/>
      <c r="AA53" s="47"/>
      <c r="AB53" s="47"/>
      <c r="AC53" s="47"/>
      <c r="AD53" s="47" t="s">
        <v>11</v>
      </c>
    </row>
    <row r="54" spans="15:30" x14ac:dyDescent="0.25">
      <c r="O54" s="44" t="s">
        <v>166</v>
      </c>
      <c r="P54" s="50" t="s">
        <v>544</v>
      </c>
      <c r="Q54" s="59">
        <v>2</v>
      </c>
      <c r="R54" s="47" t="s">
        <v>10</v>
      </c>
      <c r="S54" s="47"/>
      <c r="T54" s="47"/>
      <c r="U54" s="59">
        <v>1</v>
      </c>
      <c r="V54" s="59">
        <v>3</v>
      </c>
      <c r="W54" s="47" t="s">
        <v>167</v>
      </c>
      <c r="X54" s="59">
        <v>6</v>
      </c>
      <c r="Y54" s="47"/>
      <c r="Z54" s="47"/>
      <c r="AA54" s="47"/>
      <c r="AB54" s="47"/>
      <c r="AC54" s="47"/>
      <c r="AD54" s="47" t="s">
        <v>11</v>
      </c>
    </row>
    <row r="55" spans="15:30" x14ac:dyDescent="0.25">
      <c r="O55" s="44" t="s">
        <v>167</v>
      </c>
      <c r="P55" s="50" t="s">
        <v>544</v>
      </c>
      <c r="Q55" s="47"/>
      <c r="R55" s="47"/>
      <c r="S55" s="59">
        <v>2</v>
      </c>
      <c r="T55" s="47" t="s">
        <v>13</v>
      </c>
      <c r="U55" s="47"/>
      <c r="V55" s="59">
        <v>2</v>
      </c>
      <c r="W55" s="47" t="s">
        <v>168</v>
      </c>
      <c r="X55" s="59">
        <v>6</v>
      </c>
      <c r="Y55" s="47"/>
      <c r="Z55" s="47"/>
      <c r="AA55" s="47"/>
      <c r="AB55" s="47"/>
      <c r="AC55" s="47"/>
      <c r="AD55" s="47" t="s">
        <v>14</v>
      </c>
    </row>
    <row r="56" spans="15:30" x14ac:dyDescent="0.25">
      <c r="O56" s="44" t="s">
        <v>199</v>
      </c>
      <c r="P56" s="45" t="s">
        <v>349</v>
      </c>
      <c r="Q56" s="47"/>
      <c r="R56" s="47"/>
      <c r="S56" s="59">
        <v>2</v>
      </c>
      <c r="T56" s="47" t="s">
        <v>13</v>
      </c>
      <c r="U56" s="47"/>
      <c r="V56" s="59">
        <v>2</v>
      </c>
      <c r="W56" s="47" t="s">
        <v>173</v>
      </c>
      <c r="X56" s="59">
        <v>6</v>
      </c>
      <c r="Y56" s="47"/>
      <c r="Z56" s="47"/>
      <c r="AA56" s="47"/>
      <c r="AB56" s="47"/>
      <c r="AC56" s="47"/>
      <c r="AD56" s="47" t="s">
        <v>14</v>
      </c>
    </row>
    <row r="57" spans="15:30" x14ac:dyDescent="0.25">
      <c r="O57" s="44" t="s">
        <v>477</v>
      </c>
      <c r="P57" s="99" t="s">
        <v>478</v>
      </c>
      <c r="Q57" s="47"/>
      <c r="R57" s="47"/>
      <c r="S57" s="47"/>
      <c r="T57" s="47"/>
      <c r="U57" s="47"/>
      <c r="V57" s="59">
        <v>20</v>
      </c>
      <c r="W57" s="47"/>
      <c r="X57" s="59">
        <v>6</v>
      </c>
      <c r="Y57" s="47"/>
      <c r="Z57" s="47"/>
      <c r="AA57" s="47"/>
      <c r="AB57" s="47"/>
      <c r="AC57" s="47"/>
      <c r="AD57" s="59">
        <v>20</v>
      </c>
    </row>
    <row r="58" spans="15:30" x14ac:dyDescent="0.25">
      <c r="O58" s="39"/>
      <c r="P58" s="39" t="s">
        <v>67</v>
      </c>
      <c r="Q58" s="42"/>
      <c r="R58" s="42"/>
      <c r="S58" s="42"/>
      <c r="T58" s="42"/>
      <c r="U58" s="42"/>
      <c r="V58" s="42"/>
      <c r="W58" s="42"/>
      <c r="X58" s="42"/>
      <c r="Y58" s="42" t="s">
        <v>68</v>
      </c>
      <c r="Z58" s="42" t="s">
        <v>180</v>
      </c>
      <c r="AA58" s="42" t="s">
        <v>133</v>
      </c>
      <c r="AB58" s="42" t="s">
        <v>479</v>
      </c>
      <c r="AC58" s="42" t="s">
        <v>181</v>
      </c>
      <c r="AD58" s="42" t="s">
        <v>135</v>
      </c>
    </row>
    <row r="59" spans="15:30" x14ac:dyDescent="0.25">
      <c r="O59" s="39"/>
      <c r="P59" s="39" t="s">
        <v>75</v>
      </c>
      <c r="Q59" s="42"/>
      <c r="R59" s="42"/>
      <c r="S59" s="42"/>
      <c r="T59" s="42"/>
      <c r="U59" s="42"/>
      <c r="V59" s="97">
        <v>9</v>
      </c>
      <c r="W59" s="42"/>
      <c r="X59" s="42" t="s">
        <v>480</v>
      </c>
      <c r="Y59" s="42"/>
      <c r="Z59" s="97">
        <v>4</v>
      </c>
      <c r="AA59" s="97">
        <v>2</v>
      </c>
      <c r="AB59" s="42"/>
      <c r="AC59" s="97">
        <v>3</v>
      </c>
      <c r="AD59" s="42"/>
    </row>
    <row r="60" spans="15:30" x14ac:dyDescent="0.25">
      <c r="O60" s="39"/>
      <c r="P60" s="39" t="s">
        <v>73</v>
      </c>
      <c r="Q60" s="42"/>
      <c r="R60" s="42"/>
      <c r="S60" s="42"/>
      <c r="T60" s="42"/>
      <c r="U60" s="42"/>
      <c r="V60" s="42"/>
      <c r="W60" s="42"/>
      <c r="X60" s="42"/>
      <c r="Y60" s="97">
        <v>27</v>
      </c>
      <c r="Z60" s="97">
        <v>29</v>
      </c>
      <c r="AA60" s="97">
        <v>31</v>
      </c>
      <c r="AB60" s="97">
        <v>32</v>
      </c>
      <c r="AC60" s="97">
        <v>31</v>
      </c>
      <c r="AD60" s="97">
        <v>30</v>
      </c>
    </row>
    <row r="61" spans="15:30" x14ac:dyDescent="0.25">
      <c r="O61" s="39"/>
      <c r="P61" s="39" t="s">
        <v>74</v>
      </c>
      <c r="Q61" s="42"/>
      <c r="R61" s="42"/>
      <c r="S61" s="42"/>
      <c r="T61" s="42"/>
      <c r="U61" s="42"/>
      <c r="V61" s="97">
        <v>180</v>
      </c>
      <c r="W61" s="42"/>
      <c r="X61" s="42"/>
      <c r="Y61" s="42"/>
      <c r="Z61" s="42"/>
      <c r="AA61" s="42"/>
      <c r="AB61" s="42"/>
      <c r="AC61" s="42"/>
      <c r="AD61" s="42"/>
    </row>
    <row r="62" spans="15:30" x14ac:dyDescent="0.25"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Y62" s="219"/>
      <c r="Z62" s="219"/>
      <c r="AA62" s="219"/>
      <c r="AB62" s="219"/>
      <c r="AC62" s="219"/>
      <c r="AD62" s="219"/>
    </row>
    <row r="63" spans="15:30" x14ac:dyDescent="0.25">
      <c r="O63" s="121" t="s">
        <v>377</v>
      </c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</row>
    <row r="64" spans="15:30" x14ac:dyDescent="0.25">
      <c r="O64" s="218" t="s">
        <v>378</v>
      </c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  <c r="AA64" s="218"/>
      <c r="AB64" s="218"/>
      <c r="AC64" s="218"/>
      <c r="AD64" s="218"/>
    </row>
    <row r="65" spans="15:30" x14ac:dyDescent="0.25">
      <c r="O65" s="143" t="s">
        <v>379</v>
      </c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</row>
    <row r="66" spans="15:30" x14ac:dyDescent="0.25">
      <c r="O66" s="218" t="s">
        <v>380</v>
      </c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  <c r="AA66" s="218"/>
      <c r="AB66" s="218"/>
      <c r="AC66" s="218"/>
      <c r="AD66" s="218"/>
    </row>
    <row r="67" spans="15:30" x14ac:dyDescent="0.25">
      <c r="O67" s="143" t="s">
        <v>376</v>
      </c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</row>
    <row r="68" spans="15:30" x14ac:dyDescent="0.25">
      <c r="O68" s="218" t="s">
        <v>381</v>
      </c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  <c r="AA68" s="218"/>
      <c r="AB68" s="218"/>
      <c r="AC68" s="218"/>
      <c r="AD68" s="218"/>
    </row>
    <row r="69" spans="15:30" x14ac:dyDescent="0.25">
      <c r="O69" s="220" t="s">
        <v>273</v>
      </c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0"/>
      <c r="AA69" s="220"/>
      <c r="AB69" s="220"/>
      <c r="AC69" s="220"/>
      <c r="AD69" s="220"/>
    </row>
    <row r="70" spans="15:30" x14ac:dyDescent="0.25">
      <c r="O70" s="143" t="s">
        <v>549</v>
      </c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</row>
    <row r="71" spans="15:30" x14ac:dyDescent="0.25">
      <c r="O71" s="121" t="s">
        <v>481</v>
      </c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</row>
    <row r="72" spans="15:30" x14ac:dyDescent="0.25">
      <c r="O72" s="220" t="s">
        <v>275</v>
      </c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  <c r="AA72" s="220"/>
      <c r="AB72" s="220"/>
      <c r="AC72" s="220"/>
      <c r="AD72" s="220"/>
    </row>
    <row r="73" spans="15:30" x14ac:dyDescent="0.25">
      <c r="O73" s="221">
        <v>42684.457638888889</v>
      </c>
      <c r="P73" s="222"/>
      <c r="Q73" s="222"/>
      <c r="R73" s="222"/>
      <c r="S73" s="222"/>
      <c r="T73" s="222"/>
      <c r="U73" s="222"/>
      <c r="V73" s="222"/>
      <c r="W73" s="222"/>
      <c r="X73" s="222"/>
      <c r="Y73" s="222"/>
      <c r="Z73" s="222"/>
      <c r="AA73" s="222"/>
      <c r="AB73" s="222"/>
      <c r="AC73" s="222"/>
      <c r="AD73" s="222"/>
    </row>
    <row r="74" spans="15:30" x14ac:dyDescent="0.25">
      <c r="O74" s="214" t="s">
        <v>550</v>
      </c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3"/>
      <c r="AB74" s="193"/>
      <c r="AC74" s="193"/>
      <c r="AD74" s="193"/>
    </row>
  </sheetData>
  <sortState ref="O3:AD56">
    <sortCondition ref="X3:X56"/>
    <sortCondition ref="P3:P56"/>
  </sortState>
  <mergeCells count="75">
    <mergeCell ref="B25:C25"/>
    <mergeCell ref="O74:AD74"/>
    <mergeCell ref="B38:M38"/>
    <mergeCell ref="B39:M39"/>
    <mergeCell ref="B40:M40"/>
    <mergeCell ref="O73:AD73"/>
    <mergeCell ref="B29:M29"/>
    <mergeCell ref="B30:M30"/>
    <mergeCell ref="B31:M31"/>
    <mergeCell ref="B32:M32"/>
    <mergeCell ref="B33:M33"/>
    <mergeCell ref="B34:M34"/>
    <mergeCell ref="B35:M35"/>
    <mergeCell ref="B36:M36"/>
    <mergeCell ref="B37:M37"/>
    <mergeCell ref="O67:AD67"/>
    <mergeCell ref="O68:AD68"/>
    <mergeCell ref="O69:AD69"/>
    <mergeCell ref="O70:AD70"/>
    <mergeCell ref="O71:AD71"/>
    <mergeCell ref="O72:AD72"/>
    <mergeCell ref="O1:AD1"/>
    <mergeCell ref="O62:AD62"/>
    <mergeCell ref="O63:AD63"/>
    <mergeCell ref="O64:AD64"/>
    <mergeCell ref="O65:AD65"/>
    <mergeCell ref="O66:AD66"/>
    <mergeCell ref="B27:C27"/>
    <mergeCell ref="D27:E27"/>
    <mergeCell ref="F27:G27"/>
    <mergeCell ref="H27:I27"/>
    <mergeCell ref="J27:K27"/>
    <mergeCell ref="L27:M27"/>
    <mergeCell ref="L14:M14"/>
    <mergeCell ref="F16:G16"/>
    <mergeCell ref="H16:I16"/>
    <mergeCell ref="J16:K16"/>
    <mergeCell ref="H18:I20"/>
    <mergeCell ref="L18:M18"/>
    <mergeCell ref="J20:K21"/>
    <mergeCell ref="G14:G15"/>
    <mergeCell ref="D12:D13"/>
    <mergeCell ref="E12:E13"/>
    <mergeCell ref="B14:C20"/>
    <mergeCell ref="D14:E20"/>
    <mergeCell ref="F14:F15"/>
    <mergeCell ref="J5:K5"/>
    <mergeCell ref="F7:F8"/>
    <mergeCell ref="G7:G8"/>
    <mergeCell ref="H7:I8"/>
    <mergeCell ref="B8:B10"/>
    <mergeCell ref="C8:C10"/>
    <mergeCell ref="H9:I9"/>
    <mergeCell ref="H5:I5"/>
    <mergeCell ref="B3:C3"/>
    <mergeCell ref="D3:E3"/>
    <mergeCell ref="F3:G3"/>
    <mergeCell ref="H3:I3"/>
    <mergeCell ref="J3:K3"/>
    <mergeCell ref="L3:M3"/>
    <mergeCell ref="B22:C22"/>
    <mergeCell ref="B23:C23"/>
    <mergeCell ref="B21:C21"/>
    <mergeCell ref="D24:E24"/>
    <mergeCell ref="F17:G17"/>
    <mergeCell ref="B11:B13"/>
    <mergeCell ref="C11:C13"/>
    <mergeCell ref="F11:F12"/>
    <mergeCell ref="G11:G12"/>
    <mergeCell ref="H10:I10"/>
    <mergeCell ref="B5:C7"/>
    <mergeCell ref="D5:D7"/>
    <mergeCell ref="E5:E7"/>
    <mergeCell ref="F5:F6"/>
    <mergeCell ref="G5:G6"/>
  </mergeCells>
  <hyperlinks>
    <hyperlink ref="P6" r:id="rId1" display="http://www.inf.elte.hu/karunkrol/oktatas/tantervek/tematika/PTIBScABCTE/Komputeralgebra_rendszerek_A_hun.pdf" xr:uid="{00000000-0004-0000-0300-000000000000}"/>
    <hyperlink ref="P11" r:id="rId2" display="http://www.inf.elte.hu/karunkrol/oktatas/tantervek/tematika/PTIBScABCTE/Matematikai_alapozas_ABCT_hun.pdf" xr:uid="{00000000-0004-0000-0300-000001000000}"/>
    <hyperlink ref="P14" r:id="rId3" display="http://www.inf.elte.hu/karunkrol/oktatas/tantervek/tematika/PTIBScABCTE/Analizis_1_ABCT_hun.pdf" xr:uid="{00000000-0004-0000-0300-000002000000}"/>
    <hyperlink ref="P15" r:id="rId4" display="http://www.inf.elte.hu/karunkrol/oktatas/tantervek/tematika/PTIBScABCTE/Analizis_1_ABCT_hun.pdf" xr:uid="{00000000-0004-0000-0300-000003000000}"/>
    <hyperlink ref="P24" r:id="rId5" display="http://www.inf.elte.hu/karunkrol/oktatas/tantervek/tematika/PTIBScABCTE/Analizis_2_ABC_hun.pdf" xr:uid="{00000000-0004-0000-0300-000004000000}"/>
    <hyperlink ref="P25" r:id="rId6" display="http://www.inf.elte.hu/karunkrol/oktatas/tantervek/tematika/PTIBScABCTE/Analizis_2_ABC_hun.pdf" xr:uid="{00000000-0004-0000-0300-000005000000}"/>
    <hyperlink ref="P36" r:id="rId7" display="http://www.inf.elte.hu/karunkrol/oktatas/tantervek/tematika/PTIBScABCTE/Analizis_3_BCE_hun.pdf" xr:uid="{00000000-0004-0000-0300-000006000000}"/>
    <hyperlink ref="P28" r:id="rId8" display="http://www.inf.elte.hu/karunkrol/oktatas/tantervek/tematika/PTIBScABCTE/Numerikus_modszerek_1_ABC_hun.pdf" xr:uid="{00000000-0004-0000-0300-000007000000}"/>
    <hyperlink ref="P29" r:id="rId9" display="http://www.inf.elte.hu/karunkrol/oktatas/tantervek/tematika/PTIBScABCTE/Numerikus_modszerek_1_ABC_hun.pdf" xr:uid="{00000000-0004-0000-0300-000008000000}"/>
    <hyperlink ref="P37" r:id="rId10" display="http://www.inf.elte.hu/karunkrol/oktatas/tantervek/tematika/PTIBScABCTE/Numerikus_modszerek_2_C_hun.pdf" xr:uid="{00000000-0004-0000-0300-000009000000}"/>
    <hyperlink ref="P47" r:id="rId11" display="http://www.inf.elte.hu/karunkrol/oktatas/tantervek/tematika/PTIBScABCTE/Modellek_es_algoritmusok_CE_hun.pdf" xr:uid="{00000000-0004-0000-0300-00000A000000}"/>
    <hyperlink ref="P3" r:id="rId12" display="http://www.inf.elte.hu/karunkrol/oktatas/tantervek/tematika/PTIBScABCTE/Diszkret_matematika_1_ABCT_hun.pdf" xr:uid="{00000000-0004-0000-0300-00000B000000}"/>
    <hyperlink ref="P5" r:id="rId13" display="http://www.inf.elte.hu/karunkrol/oktatas/tantervek/tematika/PTIBScABCTE/Diszkret_matematika_1_ABCT_hun.pdf" xr:uid="{00000000-0004-0000-0300-00000C000000}"/>
    <hyperlink ref="P16" r:id="rId14" display="http://www.inf.elte.hu/karunkrol/oktatas/tantervek/tematika/PTIBScABCTE/Diszkret_matematika_2_ABC_hun.pdf" xr:uid="{00000000-0004-0000-0300-00000D000000}"/>
    <hyperlink ref="P17" r:id="rId15" display="http://www.inf.elte.hu/karunkrol/oktatas/tantervek/tematika/PTIBScABCTE/Diszkret_matematika_2_ABC_hun.pdf" xr:uid="{00000000-0004-0000-0300-00000E000000}"/>
    <hyperlink ref="P9" r:id="rId16" display="http://www.inf.elte.hu/karunkrol/oktatas/tantervek/tematika/PTIBScABCTE/Linearis_algebra_ABC_hun.pdf" xr:uid="{00000000-0004-0000-0300-00000F000000}"/>
    <hyperlink ref="P10" r:id="rId17" display="http://www.inf.elte.hu/karunkrol/oktatas/tantervek/tematika/PTIBScABCTE/Linearis_algebra_ABC_hun.pdf" xr:uid="{00000000-0004-0000-0300-000010000000}"/>
    <hyperlink ref="P51" r:id="rId18" display="http://www.inf.elte.hu/karunkrol/oktatas/tantervek/tematika/PTIBScABCTE/Valoszinusegszamitas_es_statisztika_BC_hun.pdf" xr:uid="{00000000-0004-0000-0300-000011000000}"/>
    <hyperlink ref="P52" r:id="rId19" display="http://www.inf.elte.hu/karunkrol/oktatas/tantervek/tematika/PTIBScABCTE/Valoszinusegszamitas_es_statisztika_BC_hun.pdf" xr:uid="{00000000-0004-0000-0300-000012000000}"/>
    <hyperlink ref="P26" r:id="rId20" display="http://www.inf.elte.hu/karunkrol/oktatas/tantervek/tematika/PTIBScABCTE/Logika_es_szamitaselmelet_ABCT_hun.pdf" xr:uid="{00000000-0004-0000-0300-000013000000}"/>
    <hyperlink ref="P27" r:id="rId21" display="http://www.inf.elte.hu/karunkrol/oktatas/tantervek/tematika/PTIBScABCTE/Logika_es_szamitaselmelet_ABCT_hun.pdf" xr:uid="{00000000-0004-0000-0300-000014000000}"/>
    <hyperlink ref="P22" r:id="rId22" display="http://www.inf.elte.hu/karunkrol/oktatas/tantervek/tematika/PTIBScABCTE/Algoritmusok_es_adatszerkezetek_1_ABC_hun.pdf" xr:uid="{00000000-0004-0000-0300-000015000000}"/>
    <hyperlink ref="P23" r:id="rId23" display="http://www.inf.elte.hu/karunkrol/oktatas/tantervek/tematika/PTIBScABCTE/Algoritmusok_es_adatszerkezetek_1_ABC_hun.pdf" xr:uid="{00000000-0004-0000-0300-000016000000}"/>
    <hyperlink ref="P34" r:id="rId24" display="http://www.inf.elte.hu/karunkrol/oktatas/tantervek/tematika/PTIBScABCTE/Algoritmusok_es_adatszerkezetek_2_ABCT_hun.pdf" xr:uid="{00000000-0004-0000-0300-000017000000}"/>
    <hyperlink ref="P35" r:id="rId25" display="http://www.inf.elte.hu/karunkrol/oktatas/tantervek/tematika/PTIBScABCTE/Algoritmusok_es_adatszerkezetek_2_ABCT_hun.pdf" xr:uid="{00000000-0004-0000-0300-000018000000}"/>
    <hyperlink ref="P18" r:id="rId26" display="http://www.inf.elte.hu/karunkrol/oktatas/tantervek/tematika/PTIBScABCTE/Formalis_nyelvek_es_automatak_ABCE_hun.pdf" xr:uid="{00000000-0004-0000-0300-000019000000}"/>
    <hyperlink ref="P19" r:id="rId27" display="http://www.inf.elte.hu/karunkrol/oktatas/tantervek/tematika/PTIBScABCTE/Formalis_nyelvek_es_automatak_ABCE_hun.pdf" xr:uid="{00000000-0004-0000-0300-00001A000000}"/>
    <hyperlink ref="P53" r:id="rId28" display="http://www.inf.elte.hu/karunkrol/oktatas/tantervek/tematika/PTIBScABCTE/Mesterseges_intelligencia_ABCTE_hun.pdf" xr:uid="{00000000-0004-0000-0300-00001B000000}"/>
    <hyperlink ref="P12" r:id="rId29" display="http://www.inf.elte.hu/karunkrol/oktatas/tantervek/tematika/PTIBScABCTE/Programozasi_alapismeretek_ABCT_hun.pdf" xr:uid="{00000000-0004-0000-0300-00001C000000}"/>
    <hyperlink ref="P13" r:id="rId30" display="http://www.inf.elte.hu/karunkrol/oktatas/tantervek/tematika/PTIBScABCTE/Szamitogepes_alapismeretek_ABCT_hun.pdf" xr:uid="{00000000-0004-0000-0300-00001D000000}"/>
    <hyperlink ref="P20" r:id="rId31" display="http://www.inf.elte.hu/karunkrol/oktatas/tantervek/tematika/PTIBScABCTE/Programozas_AC_hun.pdf" xr:uid="{00000000-0004-0000-0300-00001E000000}"/>
    <hyperlink ref="P38" r:id="rId32" display="http://www.inf.elte.hu/karunkrol/oktatas/tantervek/tematika/PTIBScABCTE/Programozasi_nyelvek_(C)_BCTE_hun.pdf" xr:uid="{00000000-0004-0000-0300-00001F000000}"/>
    <hyperlink ref="P30" r:id="rId33" display="http://www.inf.elte.hu/karunkrol/oktatas/tantervek/tematika/PTIBScABCTE/Programozasi_nyelvek_(JAVA)_CT_hun.pdf" xr:uid="{00000000-0004-0000-0300-000020000000}"/>
    <hyperlink ref="P21" r:id="rId34" display="http://www.inf.elte.hu/karunkrol/oktatas/tantervek/tematika/PTIBScABCTE/Scriptnyelvek_C_hun.pdf" xr:uid="{00000000-0004-0000-0300-000021000000}"/>
    <hyperlink ref="P31" r:id="rId35" display="http://www.inf.elte.hu/karunkrol/oktatas/tantervek/tematika/PTIBScABCTE/Programozasi_technologia_1_C_hun.pdf" xr:uid="{00000000-0004-0000-0300-000022000000}"/>
    <hyperlink ref="P39" r:id="rId36" display="http://www.inf.elte.hu/karunkrol/oktatas/tantervek/tematika/PTIBScABCTE/Programozasi_technologia_2_C_hun.pdf" xr:uid="{00000000-0004-0000-0300-000023000000}"/>
    <hyperlink ref="P45" r:id="rId37" display="http://www.inf.elte.hu/karunkrol/oktatas/tantervek/tematika/PTIBScABCTE/Forditoprogramok_ABCT_hun.pdf" xr:uid="{00000000-0004-0000-0300-000024000000}"/>
    <hyperlink ref="P46" r:id="rId38" display="http://www.inf.elte.hu/karunkrol/oktatas/tantervek/tematika/PTIBScABCTE/Forditoprogramok_ABCT_hun.pdf" xr:uid="{00000000-0004-0000-0300-000025000000}"/>
    <hyperlink ref="P44" r:id="rId39" display="http://www.inf.elte.hu/karunkrol/oktatas/tantervek/tematika/PTIBScABCTE/Alkalmazasok_fejlesztese_C_hun.pdf" xr:uid="{00000000-0004-0000-0300-000026000000}"/>
    <hyperlink ref="P56" r:id="rId40" display="http://www.inf.elte.hu/karunkrol/oktatas/tantervek/tematika/PTIBScABCTE/Projekteszkozok_C_hun.pdf" xr:uid="{00000000-0004-0000-0300-000027000000}"/>
    <hyperlink ref="P48" r:id="rId41" display="http://www.inf.elte.hu/karunkrol/oktatas/tantervek/tematika/PTIBScABCTE/Operacios_rendszerek_ABCE_hun.pdf" xr:uid="{00000000-0004-0000-0300-000028000000}"/>
    <hyperlink ref="P49" r:id="rId42" display="http://www.inf.elte.hu/karunkrol/oktatas/tantervek/tematika/PTIBScABCTE/Szamitogepes_halozatok_ABCT_hun.pdf" xr:uid="{00000000-0004-0000-0300-000029000000}"/>
    <hyperlink ref="P50" r:id="rId43" display="http://www.inf.elte.hu/karunkrol/oktatas/tantervek/tematika/PTIBScABCTE/Szamitogepes_halozatok_ABCT_hun.pdf" xr:uid="{00000000-0004-0000-0300-00002A000000}"/>
    <hyperlink ref="P54" r:id="rId44" display="http://www.inf.elte.hu/karunkrol/oktatas/tantervek/tematika/PTIBScABCTE/Osztott_rendszerek_C_hun.pdf" xr:uid="{00000000-0004-0000-0300-00002B000000}"/>
    <hyperlink ref="P55" r:id="rId45" display="http://www.inf.elte.hu/karunkrol/oktatas/tantervek/tematika/PTIBScABCTE/Osztott_rendszerek_C_hun.pdf" xr:uid="{00000000-0004-0000-0300-00002C000000}"/>
    <hyperlink ref="P32" r:id="rId46" display="http://www.inf.elte.hu/karunkrol/oktatas/tantervek/tematika/PTIBScABCTE/Adatbazisok_1_ABCT_hun.pdf" xr:uid="{00000000-0004-0000-0300-00002D000000}"/>
    <hyperlink ref="P33" r:id="rId47" display="http://www.inf.elte.hu/karunkrol/oktatas/tantervek/tematika/PTIBScABCTE/Adatbazisok_1_ABCT_hun.pdf" xr:uid="{00000000-0004-0000-0300-00002E000000}"/>
    <hyperlink ref="P42" r:id="rId48" display="http://www.inf.elte.hu/karunkrol/oktatas/tantervek/tematika/PTIBScABCTE/Adatbazisok_2_C_hun.pdf" xr:uid="{00000000-0004-0000-0300-00002F000000}"/>
    <hyperlink ref="P43" r:id="rId49" display="http://www.inf.elte.hu/karunkrol/oktatas/tantervek/tematika/PTIBScABCTE/Adatbazisok_2_C_hun.pdf" xr:uid="{00000000-0004-0000-0300-000030000000}"/>
    <hyperlink ref="P40" r:id="rId50" display="http://www.inf.elte.hu/karunkrol/oktatas/tantervek/tematika/PTIBScABCTE/Szamitogepes_grafika_ACT_hun.pdf" xr:uid="{00000000-0004-0000-0300-000031000000}"/>
    <hyperlink ref="P41" r:id="rId51" display="http://www.inf.elte.hu/karunkrol/oktatas/tantervek/tematika/PTIBScABCTE/Szamitogepes_grafika_ACT_hun.pdf" xr:uid="{00000000-0004-0000-0300-000032000000}"/>
    <hyperlink ref="P8" r:id="rId52" display="http://www.inf.elte.hu/karunkrol/oktatas/tantervek/tematika/PTIBScABCTE/Kozgazdasagi_alapismeretek_ABC_hun.pdf" xr:uid="{00000000-0004-0000-0300-000033000000}"/>
    <hyperlink ref="P7" r:id="rId53" display="http://www.inf.elte.hu/karunkrol/oktatas/tantervek/tematika/PTIBScABCTE/Jogi_es_menedzsment_alapismeretek_ABC_hun.pdf" xr:uid="{00000000-0004-0000-0300-000034000000}"/>
    <hyperlink ref="O69" r:id="rId54" xr:uid="{00000000-0004-0000-0300-000035000000}"/>
    <hyperlink ref="O72" r:id="rId55" xr:uid="{00000000-0004-0000-0300-000036000000}"/>
    <hyperlink ref="O74" r:id="rId56" xr:uid="{00000000-0004-0000-0300-000037000000}"/>
  </hyperlinks>
  <pageMargins left="0.7" right="0.7" top="0.75" bottom="0.75" header="0.3" footer="0.3"/>
  <pageSetup paperSize="9" orientation="portrait" r:id="rId5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D69"/>
  <sheetViews>
    <sheetView topLeftCell="D3" zoomScaleNormal="100" workbookViewId="0">
      <selection activeCell="N3" sqref="N3"/>
    </sheetView>
  </sheetViews>
  <sheetFormatPr defaultRowHeight="15" x14ac:dyDescent="0.25"/>
  <cols>
    <col min="1" max="1" width="2" style="21" customWidth="1"/>
    <col min="2" max="5" width="14.28515625" style="21" bestFit="1" customWidth="1"/>
    <col min="6" max="7" width="13.140625" style="21" bestFit="1" customWidth="1"/>
    <col min="8" max="9" width="15.28515625" style="21" bestFit="1" customWidth="1"/>
    <col min="10" max="11" width="17.28515625" style="21" bestFit="1" customWidth="1"/>
    <col min="12" max="12" width="30.85546875" style="21" bestFit="1" customWidth="1"/>
    <col min="13" max="13" width="18.5703125" style="21" bestFit="1" customWidth="1"/>
    <col min="14" max="14" width="4.85546875" style="21" customWidth="1"/>
    <col min="15" max="15" width="16.28515625" style="21" bestFit="1" customWidth="1"/>
    <col min="16" max="16" width="52.5703125" style="21" bestFit="1" customWidth="1"/>
    <col min="17" max="21" width="3.7109375" style="4" bestFit="1" customWidth="1"/>
    <col min="22" max="22" width="4" style="4" bestFit="1" customWidth="1"/>
    <col min="23" max="23" width="56.28515625" style="4" bestFit="1" customWidth="1"/>
    <col min="24" max="24" width="4.140625" style="4" bestFit="1" customWidth="1"/>
    <col min="25" max="25" width="7.85546875" style="4" customWidth="1"/>
    <col min="26" max="30" width="5.85546875" style="4" bestFit="1" customWidth="1"/>
    <col min="31" max="16384" width="9.140625" style="21"/>
  </cols>
  <sheetData>
    <row r="1" spans="2:30" x14ac:dyDescent="0.25">
      <c r="O1" s="224" t="s">
        <v>272</v>
      </c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</row>
    <row r="2" spans="2:30" ht="70.5" thickBot="1" x14ac:dyDescent="0.3">
      <c r="O2" s="62" t="s">
        <v>182</v>
      </c>
      <c r="P2" s="62" t="s">
        <v>183</v>
      </c>
      <c r="Q2" s="63" t="s">
        <v>0</v>
      </c>
      <c r="R2" s="63" t="s">
        <v>1</v>
      </c>
      <c r="S2" s="63" t="s">
        <v>2</v>
      </c>
      <c r="T2" s="63" t="s">
        <v>184</v>
      </c>
      <c r="U2" s="63" t="s">
        <v>3</v>
      </c>
      <c r="V2" s="63" t="s">
        <v>4</v>
      </c>
      <c r="W2" s="67" t="s">
        <v>185</v>
      </c>
      <c r="X2" s="63" t="s">
        <v>85</v>
      </c>
      <c r="Y2" s="64" t="s">
        <v>186</v>
      </c>
      <c r="Z2" s="64" t="s">
        <v>187</v>
      </c>
      <c r="AA2" s="64" t="s">
        <v>188</v>
      </c>
      <c r="AB2" s="63" t="s">
        <v>189</v>
      </c>
      <c r="AC2" s="63" t="s">
        <v>190</v>
      </c>
      <c r="AD2" s="63" t="s">
        <v>191</v>
      </c>
    </row>
    <row r="3" spans="2:30" ht="16.5" thickTop="1" thickBot="1" x14ac:dyDescent="0.3">
      <c r="B3" s="156" t="s">
        <v>186</v>
      </c>
      <c r="C3" s="157"/>
      <c r="D3" s="156" t="s">
        <v>187</v>
      </c>
      <c r="E3" s="157"/>
      <c r="F3" s="156" t="s">
        <v>188</v>
      </c>
      <c r="G3" s="157"/>
      <c r="H3" s="156" t="s">
        <v>189</v>
      </c>
      <c r="I3" s="157"/>
      <c r="J3" s="156" t="s">
        <v>190</v>
      </c>
      <c r="K3" s="157"/>
      <c r="L3" s="156" t="s">
        <v>191</v>
      </c>
      <c r="M3" s="157"/>
      <c r="O3" s="66" t="s">
        <v>284</v>
      </c>
      <c r="P3" s="68" t="s">
        <v>326</v>
      </c>
      <c r="Q3" s="69">
        <v>2</v>
      </c>
      <c r="R3" s="70" t="s">
        <v>10</v>
      </c>
      <c r="S3" s="71"/>
      <c r="T3" s="71"/>
      <c r="U3" s="69">
        <v>1</v>
      </c>
      <c r="V3" s="69">
        <v>3</v>
      </c>
      <c r="W3" s="72" t="s">
        <v>7</v>
      </c>
      <c r="X3" s="69">
        <v>1</v>
      </c>
      <c r="Y3" s="73" t="s">
        <v>11</v>
      </c>
      <c r="Z3" s="74"/>
      <c r="AA3" s="74"/>
      <c r="AB3" s="71"/>
      <c r="AC3" s="71"/>
      <c r="AD3" s="71"/>
    </row>
    <row r="4" spans="2:30" s="60" customFormat="1" ht="15.75" hidden="1" thickTop="1" x14ac:dyDescent="0.25"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O4" s="75"/>
      <c r="P4" s="76"/>
      <c r="Q4" s="77"/>
      <c r="R4" s="78"/>
      <c r="S4" s="79"/>
      <c r="T4" s="79"/>
      <c r="U4" s="77"/>
      <c r="V4" s="77"/>
      <c r="W4" s="65"/>
      <c r="X4" s="77"/>
      <c r="Y4" s="80"/>
      <c r="Z4" s="81"/>
      <c r="AA4" s="81"/>
      <c r="AB4" s="79"/>
      <c r="AC4" s="79"/>
      <c r="AD4" s="79"/>
    </row>
    <row r="5" spans="2:30" ht="15.75" thickTop="1" x14ac:dyDescent="0.25">
      <c r="B5" s="1"/>
      <c r="C5" s="2"/>
      <c r="D5" s="136" t="s">
        <v>428</v>
      </c>
      <c r="E5" s="136" t="s">
        <v>429</v>
      </c>
      <c r="F5" s="136" t="s">
        <v>415</v>
      </c>
      <c r="G5" s="3"/>
      <c r="H5" s="173" t="s">
        <v>435</v>
      </c>
      <c r="I5" s="174"/>
      <c r="J5" s="173" t="s">
        <v>421</v>
      </c>
      <c r="K5" s="174"/>
      <c r="L5" s="4"/>
      <c r="M5" s="4"/>
      <c r="O5" s="66" t="s">
        <v>285</v>
      </c>
      <c r="P5" s="68" t="s">
        <v>326</v>
      </c>
      <c r="Q5" s="71"/>
      <c r="R5" s="71"/>
      <c r="S5" s="69">
        <v>1</v>
      </c>
      <c r="T5" s="70" t="s">
        <v>13</v>
      </c>
      <c r="U5" s="69">
        <v>2</v>
      </c>
      <c r="V5" s="69">
        <v>3</v>
      </c>
      <c r="W5" s="72" t="s">
        <v>7</v>
      </c>
      <c r="X5" s="69">
        <v>1</v>
      </c>
      <c r="Y5" s="73" t="s">
        <v>124</v>
      </c>
      <c r="Z5" s="74"/>
      <c r="AA5" s="74"/>
      <c r="AB5" s="71"/>
      <c r="AC5" s="71"/>
      <c r="AD5" s="71"/>
    </row>
    <row r="6" spans="2:30" x14ac:dyDescent="0.25">
      <c r="B6" s="1"/>
      <c r="C6" s="2"/>
      <c r="D6" s="137"/>
      <c r="E6" s="137"/>
      <c r="F6" s="138"/>
      <c r="G6" s="5" t="s">
        <v>416</v>
      </c>
      <c r="H6" s="4"/>
      <c r="I6" s="4"/>
      <c r="J6" s="100"/>
      <c r="K6" s="100"/>
      <c r="L6" s="6" t="s">
        <v>244</v>
      </c>
      <c r="M6" s="6" t="s">
        <v>441</v>
      </c>
      <c r="O6" s="66" t="s">
        <v>289</v>
      </c>
      <c r="P6" s="68" t="s">
        <v>329</v>
      </c>
      <c r="Q6" s="69">
        <v>2</v>
      </c>
      <c r="R6" s="70" t="s">
        <v>10</v>
      </c>
      <c r="S6" s="71"/>
      <c r="T6" s="71"/>
      <c r="U6" s="69">
        <v>1</v>
      </c>
      <c r="V6" s="69">
        <v>3</v>
      </c>
      <c r="W6" s="72" t="s">
        <v>7</v>
      </c>
      <c r="X6" s="69">
        <v>1</v>
      </c>
      <c r="Y6" s="73" t="s">
        <v>11</v>
      </c>
      <c r="Z6" s="74"/>
      <c r="AA6" s="74"/>
      <c r="AB6" s="71"/>
      <c r="AC6" s="71"/>
      <c r="AD6" s="71"/>
    </row>
    <row r="7" spans="2:30" x14ac:dyDescent="0.25">
      <c r="B7" s="7"/>
      <c r="C7" s="8"/>
      <c r="D7" s="138"/>
      <c r="E7" s="138"/>
      <c r="F7" s="100"/>
      <c r="G7" s="100"/>
      <c r="H7" s="100"/>
      <c r="I7" s="100"/>
      <c r="J7" s="158" t="s">
        <v>422</v>
      </c>
      <c r="K7" s="158" t="s">
        <v>423</v>
      </c>
      <c r="L7" s="161" t="s">
        <v>442</v>
      </c>
      <c r="M7" s="164"/>
      <c r="O7" s="66" t="s">
        <v>290</v>
      </c>
      <c r="P7" s="68" t="s">
        <v>329</v>
      </c>
      <c r="Q7" s="71"/>
      <c r="R7" s="71"/>
      <c r="S7" s="69">
        <v>1</v>
      </c>
      <c r="T7" s="70" t="s">
        <v>13</v>
      </c>
      <c r="U7" s="69">
        <v>2</v>
      </c>
      <c r="V7" s="69">
        <v>3</v>
      </c>
      <c r="W7" s="72" t="s">
        <v>7</v>
      </c>
      <c r="X7" s="69">
        <v>1</v>
      </c>
      <c r="Y7" s="73" t="s">
        <v>124</v>
      </c>
      <c r="Z7" s="74"/>
      <c r="AA7" s="74"/>
      <c r="AB7" s="71"/>
      <c r="AC7" s="71"/>
      <c r="AD7" s="71"/>
    </row>
    <row r="8" spans="2:30" x14ac:dyDescent="0.25">
      <c r="B8" s="158" t="s">
        <v>411</v>
      </c>
      <c r="C8" s="158" t="s">
        <v>410</v>
      </c>
      <c r="D8" s="4"/>
      <c r="E8" s="4"/>
      <c r="F8" s="100"/>
      <c r="G8" s="100"/>
      <c r="H8" s="100"/>
      <c r="I8" s="100"/>
      <c r="J8" s="160"/>
      <c r="K8" s="160"/>
      <c r="L8" s="162"/>
      <c r="M8" s="166"/>
      <c r="O8" s="66" t="s">
        <v>299</v>
      </c>
      <c r="P8" s="68" t="s">
        <v>335</v>
      </c>
      <c r="Q8" s="69">
        <v>2</v>
      </c>
      <c r="R8" s="70" t="s">
        <v>25</v>
      </c>
      <c r="S8" s="69">
        <v>2</v>
      </c>
      <c r="T8" s="71"/>
      <c r="U8" s="69">
        <v>3</v>
      </c>
      <c r="V8" s="69">
        <v>7</v>
      </c>
      <c r="W8" s="72" t="s">
        <v>7</v>
      </c>
      <c r="X8" s="69">
        <v>1</v>
      </c>
      <c r="Y8" s="73" t="s">
        <v>50</v>
      </c>
      <c r="Z8" s="74"/>
      <c r="AA8" s="74"/>
      <c r="AB8" s="71"/>
      <c r="AC8" s="71"/>
      <c r="AD8" s="71"/>
    </row>
    <row r="9" spans="2:30" x14ac:dyDescent="0.25">
      <c r="B9" s="159"/>
      <c r="C9" s="159"/>
      <c r="D9" s="4"/>
      <c r="E9" s="4"/>
      <c r="F9" s="4"/>
      <c r="G9" s="4"/>
      <c r="H9" s="100"/>
      <c r="I9" s="100"/>
      <c r="J9" s="4"/>
      <c r="K9" s="4"/>
      <c r="L9" s="134" t="s">
        <v>443</v>
      </c>
      <c r="M9" s="135"/>
      <c r="O9" s="66" t="s">
        <v>300</v>
      </c>
      <c r="P9" s="68" t="s">
        <v>336</v>
      </c>
      <c r="Q9" s="69">
        <v>1</v>
      </c>
      <c r="R9" s="70" t="s">
        <v>25</v>
      </c>
      <c r="S9" s="69">
        <v>1</v>
      </c>
      <c r="T9" s="71"/>
      <c r="U9" s="69">
        <v>3</v>
      </c>
      <c r="V9" s="69">
        <v>5</v>
      </c>
      <c r="W9" s="72" t="s">
        <v>7</v>
      </c>
      <c r="X9" s="69">
        <v>1</v>
      </c>
      <c r="Y9" s="73" t="s">
        <v>301</v>
      </c>
      <c r="Z9" s="74"/>
      <c r="AA9" s="74"/>
      <c r="AB9" s="71"/>
      <c r="AC9" s="71"/>
      <c r="AD9" s="71"/>
    </row>
    <row r="10" spans="2:30" x14ac:dyDescent="0.25">
      <c r="B10" s="160"/>
      <c r="C10" s="160"/>
      <c r="D10" s="4"/>
      <c r="E10" s="4"/>
      <c r="F10" s="4"/>
      <c r="G10" s="4"/>
      <c r="H10" s="100"/>
      <c r="I10" s="100"/>
      <c r="J10" s="4"/>
      <c r="K10" s="4"/>
      <c r="L10" s="134" t="s">
        <v>444</v>
      </c>
      <c r="M10" s="135"/>
      <c r="O10" s="75" t="s">
        <v>276</v>
      </c>
      <c r="P10" s="76" t="s">
        <v>319</v>
      </c>
      <c r="Q10" s="77">
        <v>2</v>
      </c>
      <c r="R10" s="78" t="s">
        <v>10</v>
      </c>
      <c r="S10" s="79"/>
      <c r="T10" s="79"/>
      <c r="U10" s="77">
        <v>1</v>
      </c>
      <c r="V10" s="77">
        <v>3</v>
      </c>
      <c r="W10" s="65" t="s">
        <v>7</v>
      </c>
      <c r="X10" s="77">
        <v>2</v>
      </c>
      <c r="Y10" s="81"/>
      <c r="Z10" s="80" t="s">
        <v>11</v>
      </c>
      <c r="AA10" s="81"/>
      <c r="AB10" s="79"/>
      <c r="AC10" s="79"/>
      <c r="AD10" s="79"/>
    </row>
    <row r="11" spans="2:30" x14ac:dyDescent="0.25">
      <c r="B11" s="175" t="s">
        <v>412</v>
      </c>
      <c r="C11" s="175" t="s">
        <v>413</v>
      </c>
      <c r="D11" s="175" t="s">
        <v>431</v>
      </c>
      <c r="E11" s="175" t="s">
        <v>432</v>
      </c>
      <c r="F11" s="232" t="s">
        <v>452</v>
      </c>
      <c r="G11" s="233"/>
      <c r="H11" s="9"/>
      <c r="I11" s="7"/>
      <c r="J11" s="4"/>
      <c r="K11" s="4"/>
      <c r="L11" s="4"/>
      <c r="M11" s="4"/>
      <c r="O11" s="75" t="s">
        <v>277</v>
      </c>
      <c r="P11" s="76" t="s">
        <v>319</v>
      </c>
      <c r="Q11" s="79"/>
      <c r="R11" s="79"/>
      <c r="S11" s="77">
        <v>1</v>
      </c>
      <c r="T11" s="78" t="s">
        <v>13</v>
      </c>
      <c r="U11" s="77">
        <v>2</v>
      </c>
      <c r="V11" s="77">
        <v>3</v>
      </c>
      <c r="W11" s="65" t="s">
        <v>7</v>
      </c>
      <c r="X11" s="77">
        <v>2</v>
      </c>
      <c r="Y11" s="81"/>
      <c r="Z11" s="80" t="s">
        <v>124</v>
      </c>
      <c r="AA11" s="81"/>
      <c r="AB11" s="79"/>
      <c r="AC11" s="79"/>
      <c r="AD11" s="79"/>
    </row>
    <row r="12" spans="2:30" x14ac:dyDescent="0.25">
      <c r="B12" s="176"/>
      <c r="C12" s="176"/>
      <c r="D12" s="177"/>
      <c r="E12" s="177"/>
      <c r="F12" s="10"/>
      <c r="G12" s="11"/>
      <c r="H12" s="175" t="s">
        <v>436</v>
      </c>
      <c r="I12" s="175" t="s">
        <v>437</v>
      </c>
      <c r="J12" s="4"/>
      <c r="K12" s="4"/>
      <c r="L12" s="4"/>
      <c r="M12" s="4"/>
      <c r="O12" s="75" t="s">
        <v>286</v>
      </c>
      <c r="P12" s="76" t="s">
        <v>327</v>
      </c>
      <c r="Q12" s="77">
        <v>2</v>
      </c>
      <c r="R12" s="78" t="s">
        <v>10</v>
      </c>
      <c r="S12" s="79"/>
      <c r="T12" s="79"/>
      <c r="U12" s="77">
        <v>1</v>
      </c>
      <c r="V12" s="77">
        <v>3</v>
      </c>
      <c r="W12" s="65" t="s">
        <v>7</v>
      </c>
      <c r="X12" s="77">
        <v>2</v>
      </c>
      <c r="Y12" s="81"/>
      <c r="Z12" s="80" t="s">
        <v>11</v>
      </c>
      <c r="AA12" s="81"/>
      <c r="AB12" s="79"/>
      <c r="AC12" s="79"/>
      <c r="AD12" s="79"/>
    </row>
    <row r="13" spans="2:30" x14ac:dyDescent="0.25">
      <c r="B13" s="176"/>
      <c r="C13" s="176"/>
      <c r="D13" s="100"/>
      <c r="E13" s="100"/>
      <c r="F13" s="178" t="s">
        <v>417</v>
      </c>
      <c r="G13" s="12" t="s">
        <v>418</v>
      </c>
      <c r="H13" s="177"/>
      <c r="I13" s="177"/>
      <c r="J13" s="4"/>
      <c r="K13" s="4"/>
      <c r="L13" s="4"/>
      <c r="M13" s="4"/>
      <c r="O13" s="75" t="s">
        <v>287</v>
      </c>
      <c r="P13" s="76" t="s">
        <v>327</v>
      </c>
      <c r="Q13" s="79"/>
      <c r="R13" s="79"/>
      <c r="S13" s="77">
        <v>1</v>
      </c>
      <c r="T13" s="78" t="s">
        <v>13</v>
      </c>
      <c r="U13" s="77">
        <v>2</v>
      </c>
      <c r="V13" s="77">
        <v>3</v>
      </c>
      <c r="W13" s="65" t="s">
        <v>284</v>
      </c>
      <c r="X13" s="77">
        <v>2</v>
      </c>
      <c r="Y13" s="81"/>
      <c r="Z13" s="80" t="s">
        <v>124</v>
      </c>
      <c r="AA13" s="81"/>
      <c r="AB13" s="79"/>
      <c r="AC13" s="79"/>
      <c r="AD13" s="79"/>
    </row>
    <row r="14" spans="2:30" x14ac:dyDescent="0.25">
      <c r="B14" s="177"/>
      <c r="C14" s="177"/>
      <c r="D14" s="100"/>
      <c r="E14" s="100"/>
      <c r="F14" s="180"/>
      <c r="G14" s="3"/>
      <c r="H14" s="234" t="s">
        <v>453</v>
      </c>
      <c r="I14" s="235"/>
      <c r="J14" s="100"/>
      <c r="K14" s="100"/>
      <c r="L14" s="4"/>
      <c r="M14" s="4"/>
      <c r="O14" s="75" t="s">
        <v>309</v>
      </c>
      <c r="P14" s="76" t="s">
        <v>347</v>
      </c>
      <c r="Q14" s="77">
        <v>2</v>
      </c>
      <c r="R14" s="78" t="s">
        <v>10</v>
      </c>
      <c r="S14" s="79"/>
      <c r="T14" s="79"/>
      <c r="U14" s="77">
        <v>1</v>
      </c>
      <c r="V14" s="77">
        <v>3</v>
      </c>
      <c r="W14" s="65" t="s">
        <v>7</v>
      </c>
      <c r="X14" s="77">
        <v>2</v>
      </c>
      <c r="Y14" s="81"/>
      <c r="Z14" s="80" t="s">
        <v>11</v>
      </c>
      <c r="AA14" s="81"/>
      <c r="AB14" s="79"/>
      <c r="AC14" s="79"/>
      <c r="AD14" s="79"/>
    </row>
    <row r="15" spans="2:30" x14ac:dyDescent="0.25">
      <c r="B15" s="128" t="s">
        <v>414</v>
      </c>
      <c r="C15" s="129"/>
      <c r="D15" s="128" t="s">
        <v>433</v>
      </c>
      <c r="E15" s="129"/>
      <c r="F15" s="153" t="s">
        <v>248</v>
      </c>
      <c r="G15" s="153" t="s">
        <v>419</v>
      </c>
      <c r="H15" s="13" t="s">
        <v>269</v>
      </c>
      <c r="I15" s="13" t="s">
        <v>438</v>
      </c>
      <c r="J15" s="126" t="s">
        <v>424</v>
      </c>
      <c r="K15" s="127"/>
      <c r="L15" s="100"/>
      <c r="M15" s="100"/>
      <c r="O15" s="75" t="s">
        <v>302</v>
      </c>
      <c r="P15" s="76" t="s">
        <v>82</v>
      </c>
      <c r="Q15" s="77">
        <v>2</v>
      </c>
      <c r="R15" s="78" t="s">
        <v>25</v>
      </c>
      <c r="S15" s="77">
        <v>4</v>
      </c>
      <c r="T15" s="79"/>
      <c r="U15" s="77">
        <v>4</v>
      </c>
      <c r="V15" s="77">
        <v>10</v>
      </c>
      <c r="W15" s="65" t="s">
        <v>299</v>
      </c>
      <c r="X15" s="77">
        <v>2</v>
      </c>
      <c r="Y15" s="81"/>
      <c r="Z15" s="80" t="s">
        <v>52</v>
      </c>
      <c r="AA15" s="81"/>
      <c r="AB15" s="79"/>
      <c r="AC15" s="79"/>
      <c r="AD15" s="79"/>
    </row>
    <row r="16" spans="2:30" x14ac:dyDescent="0.25">
      <c r="B16" s="149"/>
      <c r="C16" s="150"/>
      <c r="D16" s="149"/>
      <c r="E16" s="150"/>
      <c r="F16" s="155"/>
      <c r="G16" s="155"/>
      <c r="H16" s="100"/>
      <c r="I16" s="100"/>
      <c r="J16" s="14" t="s">
        <v>425</v>
      </c>
      <c r="K16" s="14" t="s">
        <v>426</v>
      </c>
      <c r="L16" s="240" t="s">
        <v>445</v>
      </c>
      <c r="M16" s="241"/>
      <c r="O16" s="66" t="s">
        <v>294</v>
      </c>
      <c r="P16" s="68" t="s">
        <v>322</v>
      </c>
      <c r="Q16" s="69">
        <v>2</v>
      </c>
      <c r="R16" s="70" t="s">
        <v>10</v>
      </c>
      <c r="S16" s="71"/>
      <c r="T16" s="71"/>
      <c r="U16" s="69">
        <v>1</v>
      </c>
      <c r="V16" s="69">
        <v>3</v>
      </c>
      <c r="W16" s="72" t="s">
        <v>7</v>
      </c>
      <c r="X16" s="69">
        <v>3</v>
      </c>
      <c r="Y16" s="74"/>
      <c r="Z16" s="74"/>
      <c r="AA16" s="73" t="s">
        <v>11</v>
      </c>
      <c r="AB16" s="71"/>
      <c r="AC16" s="71"/>
      <c r="AD16" s="71"/>
    </row>
    <row r="17" spans="2:30" x14ac:dyDescent="0.25">
      <c r="B17" s="149"/>
      <c r="C17" s="150"/>
      <c r="D17" s="149"/>
      <c r="E17" s="150"/>
      <c r="F17" s="100"/>
      <c r="G17" s="100"/>
      <c r="H17" s="216" t="s">
        <v>439</v>
      </c>
      <c r="I17" s="217"/>
      <c r="J17" s="216" t="s">
        <v>427</v>
      </c>
      <c r="K17" s="217"/>
      <c r="L17" s="147" t="s">
        <v>446</v>
      </c>
      <c r="M17" s="148"/>
      <c r="O17" s="66" t="s">
        <v>350</v>
      </c>
      <c r="P17" s="68" t="s">
        <v>322</v>
      </c>
      <c r="Q17" s="71"/>
      <c r="R17" s="71"/>
      <c r="S17" s="69">
        <v>2</v>
      </c>
      <c r="T17" s="70" t="s">
        <v>13</v>
      </c>
      <c r="U17" s="69">
        <v>1</v>
      </c>
      <c r="V17" s="69">
        <v>3</v>
      </c>
      <c r="W17" s="72" t="s">
        <v>302</v>
      </c>
      <c r="X17" s="69">
        <v>3</v>
      </c>
      <c r="Y17" s="74"/>
      <c r="Z17" s="74"/>
      <c r="AA17" s="73" t="s">
        <v>14</v>
      </c>
      <c r="AB17" s="71"/>
      <c r="AC17" s="71"/>
      <c r="AD17" s="71"/>
    </row>
    <row r="18" spans="2:30" x14ac:dyDescent="0.25">
      <c r="B18" s="149"/>
      <c r="C18" s="150"/>
      <c r="D18" s="149"/>
      <c r="E18" s="150"/>
      <c r="F18" s="147" t="s">
        <v>420</v>
      </c>
      <c r="G18" s="148"/>
      <c r="H18" s="4"/>
      <c r="I18" s="4"/>
      <c r="J18" s="4"/>
      <c r="K18" s="4"/>
      <c r="L18" s="15" t="s">
        <v>447</v>
      </c>
      <c r="M18" s="15" t="s">
        <v>448</v>
      </c>
      <c r="O18" s="66" t="s">
        <v>278</v>
      </c>
      <c r="P18" s="68" t="s">
        <v>320</v>
      </c>
      <c r="Q18" s="69">
        <v>2</v>
      </c>
      <c r="R18" s="70" t="s">
        <v>10</v>
      </c>
      <c r="S18" s="71"/>
      <c r="T18" s="71"/>
      <c r="U18" s="69">
        <v>1</v>
      </c>
      <c r="V18" s="69">
        <v>3</v>
      </c>
      <c r="W18" s="72" t="s">
        <v>7</v>
      </c>
      <c r="X18" s="69">
        <v>3</v>
      </c>
      <c r="Y18" s="74"/>
      <c r="Z18" s="74"/>
      <c r="AA18" s="73" t="s">
        <v>11</v>
      </c>
      <c r="AB18" s="71"/>
      <c r="AC18" s="71"/>
      <c r="AD18" s="71"/>
    </row>
    <row r="19" spans="2:30" x14ac:dyDescent="0.25">
      <c r="B19" s="149"/>
      <c r="C19" s="150"/>
      <c r="D19" s="151"/>
      <c r="E19" s="152"/>
      <c r="F19" s="25"/>
      <c r="G19" s="25"/>
      <c r="H19" s="4"/>
      <c r="I19" s="4"/>
      <c r="J19" s="1"/>
      <c r="K19" s="1"/>
      <c r="L19" s="236" t="s">
        <v>449</v>
      </c>
      <c r="M19" s="210"/>
      <c r="O19" s="66" t="s">
        <v>279</v>
      </c>
      <c r="P19" s="68" t="s">
        <v>320</v>
      </c>
      <c r="Q19" s="71"/>
      <c r="R19" s="71"/>
      <c r="S19" s="69">
        <v>1</v>
      </c>
      <c r="T19" s="70" t="s">
        <v>13</v>
      </c>
      <c r="U19" s="69">
        <v>1</v>
      </c>
      <c r="V19" s="69">
        <v>2</v>
      </c>
      <c r="W19" s="72" t="s">
        <v>276</v>
      </c>
      <c r="X19" s="69">
        <v>3</v>
      </c>
      <c r="Y19" s="74"/>
      <c r="Z19" s="74"/>
      <c r="AA19" s="73" t="s">
        <v>124</v>
      </c>
      <c r="AB19" s="71"/>
      <c r="AC19" s="71"/>
      <c r="AD19" s="71"/>
    </row>
    <row r="20" spans="2:30" x14ac:dyDescent="0.25">
      <c r="B20" s="149"/>
      <c r="C20" s="150"/>
      <c r="D20" s="16"/>
      <c r="E20" s="17"/>
      <c r="F20" s="4"/>
      <c r="G20" s="4"/>
      <c r="H20" s="181" t="s">
        <v>440</v>
      </c>
      <c r="I20" s="182"/>
      <c r="J20" s="18"/>
      <c r="K20" s="1"/>
      <c r="L20" s="237"/>
      <c r="M20" s="211"/>
      <c r="O20" s="66" t="s">
        <v>288</v>
      </c>
      <c r="P20" s="68" t="s">
        <v>328</v>
      </c>
      <c r="Q20" s="69">
        <v>2</v>
      </c>
      <c r="R20" s="70" t="s">
        <v>10</v>
      </c>
      <c r="S20" s="71"/>
      <c r="T20" s="71"/>
      <c r="U20" s="69">
        <v>2</v>
      </c>
      <c r="V20" s="69">
        <v>4</v>
      </c>
      <c r="W20" s="72" t="s">
        <v>286</v>
      </c>
      <c r="X20" s="69">
        <v>3</v>
      </c>
      <c r="Y20" s="74"/>
      <c r="Z20" s="74"/>
      <c r="AA20" s="73" t="s">
        <v>11</v>
      </c>
      <c r="AB20" s="71"/>
      <c r="AC20" s="71"/>
      <c r="AD20" s="71"/>
    </row>
    <row r="21" spans="2:30" x14ac:dyDescent="0.25">
      <c r="B21" s="149"/>
      <c r="C21" s="150"/>
      <c r="D21" s="18"/>
      <c r="E21" s="1"/>
      <c r="F21" s="4"/>
      <c r="G21" s="4"/>
      <c r="H21" s="183"/>
      <c r="I21" s="184"/>
      <c r="J21" s="9"/>
      <c r="K21" s="8"/>
      <c r="L21" s="238" t="s">
        <v>451</v>
      </c>
      <c r="M21" s="238" t="s">
        <v>450</v>
      </c>
      <c r="O21" s="66" t="s">
        <v>296</v>
      </c>
      <c r="P21" s="68" t="s">
        <v>333</v>
      </c>
      <c r="Q21" s="69">
        <v>2</v>
      </c>
      <c r="R21" s="70" t="s">
        <v>10</v>
      </c>
      <c r="S21" s="71"/>
      <c r="T21" s="71"/>
      <c r="U21" s="71"/>
      <c r="V21" s="69">
        <v>2</v>
      </c>
      <c r="W21" s="72" t="s">
        <v>7</v>
      </c>
      <c r="X21" s="69">
        <v>3</v>
      </c>
      <c r="Y21" s="74"/>
      <c r="Z21" s="74"/>
      <c r="AA21" s="73" t="s">
        <v>11</v>
      </c>
      <c r="AB21" s="71"/>
      <c r="AC21" s="71"/>
      <c r="AD21" s="71"/>
    </row>
    <row r="22" spans="2:30" x14ac:dyDescent="0.25">
      <c r="B22" s="151"/>
      <c r="C22" s="152"/>
      <c r="D22" s="18"/>
      <c r="E22" s="1"/>
      <c r="F22" s="4"/>
      <c r="G22" s="4"/>
      <c r="H22" s="185"/>
      <c r="I22" s="186"/>
      <c r="J22" s="187" t="s">
        <v>536</v>
      </c>
      <c r="K22" s="188"/>
      <c r="L22" s="239"/>
      <c r="M22" s="239"/>
      <c r="O22" s="66" t="s">
        <v>297</v>
      </c>
      <c r="P22" s="68" t="s">
        <v>333</v>
      </c>
      <c r="Q22" s="71"/>
      <c r="R22" s="71"/>
      <c r="S22" s="69">
        <v>2</v>
      </c>
      <c r="T22" s="70" t="s">
        <v>13</v>
      </c>
      <c r="U22" s="71"/>
      <c r="V22" s="69">
        <v>2</v>
      </c>
      <c r="W22" s="72" t="s">
        <v>284</v>
      </c>
      <c r="X22" s="69">
        <v>3</v>
      </c>
      <c r="Y22" s="74"/>
      <c r="Z22" s="74"/>
      <c r="AA22" s="73" t="s">
        <v>14</v>
      </c>
      <c r="AB22" s="71"/>
      <c r="AC22" s="71"/>
      <c r="AD22" s="71"/>
    </row>
    <row r="23" spans="2:30" x14ac:dyDescent="0.25">
      <c r="B23" s="199" t="s">
        <v>430</v>
      </c>
      <c r="C23" s="200"/>
      <c r="D23" s="4"/>
      <c r="E23" s="4"/>
      <c r="F23" s="4"/>
      <c r="G23" s="4"/>
      <c r="H23" s="4"/>
      <c r="I23" s="4"/>
      <c r="J23" s="191"/>
      <c r="K23" s="192"/>
      <c r="L23" s="4"/>
      <c r="M23" s="4"/>
      <c r="O23" s="66" t="s">
        <v>351</v>
      </c>
      <c r="P23" s="68" t="s">
        <v>338</v>
      </c>
      <c r="Q23" s="69">
        <v>2</v>
      </c>
      <c r="R23" s="70" t="s">
        <v>25</v>
      </c>
      <c r="S23" s="69">
        <v>2</v>
      </c>
      <c r="T23" s="71"/>
      <c r="U23" s="69">
        <v>2</v>
      </c>
      <c r="V23" s="69">
        <v>6</v>
      </c>
      <c r="W23" s="72" t="s">
        <v>302</v>
      </c>
      <c r="X23" s="69">
        <v>3</v>
      </c>
      <c r="Y23" s="74"/>
      <c r="Z23" s="74"/>
      <c r="AA23" s="73" t="s">
        <v>50</v>
      </c>
      <c r="AB23" s="71"/>
      <c r="AC23" s="71"/>
      <c r="AD23" s="71"/>
    </row>
    <row r="24" spans="2:30" x14ac:dyDescent="0.25">
      <c r="B24" s="100"/>
      <c r="C24" s="100"/>
      <c r="D24" s="201" t="s">
        <v>434</v>
      </c>
      <c r="E24" s="202"/>
      <c r="F24" s="4"/>
      <c r="G24" s="4"/>
      <c r="H24" s="4"/>
      <c r="I24" s="4"/>
      <c r="J24" s="4"/>
      <c r="K24" s="4"/>
      <c r="L24" s="4"/>
      <c r="M24" s="4"/>
      <c r="O24" s="75" t="s">
        <v>295</v>
      </c>
      <c r="P24" s="76" t="s">
        <v>332</v>
      </c>
      <c r="Q24" s="77">
        <v>2</v>
      </c>
      <c r="R24" s="78" t="s">
        <v>10</v>
      </c>
      <c r="S24" s="79"/>
      <c r="T24" s="79"/>
      <c r="U24" s="77">
        <v>2</v>
      </c>
      <c r="V24" s="77">
        <v>4</v>
      </c>
      <c r="W24" s="65" t="s">
        <v>294</v>
      </c>
      <c r="X24" s="77">
        <v>4</v>
      </c>
      <c r="Y24" s="81"/>
      <c r="Z24" s="81"/>
      <c r="AA24" s="81"/>
      <c r="AB24" s="78" t="s">
        <v>11</v>
      </c>
      <c r="AC24" s="79"/>
      <c r="AD24" s="79"/>
    </row>
    <row r="25" spans="2:30" x14ac:dyDescent="0.25">
      <c r="B25" s="4"/>
      <c r="C25" s="4"/>
      <c r="D25" s="19"/>
      <c r="E25" s="19"/>
      <c r="F25" s="25"/>
      <c r="G25" s="25"/>
      <c r="H25" s="24"/>
      <c r="I25" s="25"/>
      <c r="J25" s="23"/>
      <c r="K25" s="25"/>
      <c r="L25" s="100"/>
      <c r="M25" s="100"/>
      <c r="O25" s="75" t="s">
        <v>317</v>
      </c>
      <c r="P25" s="76" t="s">
        <v>332</v>
      </c>
      <c r="Q25" s="79"/>
      <c r="R25" s="79"/>
      <c r="S25" s="77">
        <v>2</v>
      </c>
      <c r="T25" s="78" t="s">
        <v>13</v>
      </c>
      <c r="U25" s="79"/>
      <c r="V25" s="77">
        <v>2</v>
      </c>
      <c r="W25" s="65" t="s">
        <v>318</v>
      </c>
      <c r="X25" s="77">
        <v>4</v>
      </c>
      <c r="Y25" s="81"/>
      <c r="Z25" s="81"/>
      <c r="AA25" s="81"/>
      <c r="AB25" s="78" t="s">
        <v>14</v>
      </c>
      <c r="AC25" s="79"/>
      <c r="AD25" s="79"/>
    </row>
    <row r="26" spans="2:30" x14ac:dyDescent="0.25">
      <c r="B26" s="120">
        <f>3+3+3+3+7+5</f>
        <v>24</v>
      </c>
      <c r="C26" s="120"/>
      <c r="D26" s="120">
        <f>3+3+3+3+10+3</f>
        <v>25</v>
      </c>
      <c r="E26" s="120"/>
      <c r="F26" s="120">
        <f>3+3+2+3+4+2+2+6</f>
        <v>25</v>
      </c>
      <c r="G26" s="120"/>
      <c r="H26" s="120">
        <f>4+2+4+3+3+2+5+5</f>
        <v>28</v>
      </c>
      <c r="I26" s="120"/>
      <c r="J26" s="120">
        <f>3+3+3+3+3+2+4+5</f>
        <v>26</v>
      </c>
      <c r="K26" s="120"/>
      <c r="L26" s="120">
        <f>3+3+3+2+3+2+2+3+2+3+2+3</f>
        <v>31</v>
      </c>
      <c r="M26" s="120"/>
      <c r="O26" s="75" t="s">
        <v>280</v>
      </c>
      <c r="P26" s="76" t="s">
        <v>321</v>
      </c>
      <c r="Q26" s="77">
        <v>1</v>
      </c>
      <c r="R26" s="79"/>
      <c r="S26" s="77">
        <v>2</v>
      </c>
      <c r="T26" s="78" t="s">
        <v>13</v>
      </c>
      <c r="U26" s="77">
        <v>1</v>
      </c>
      <c r="V26" s="77">
        <v>4</v>
      </c>
      <c r="W26" s="65" t="s">
        <v>279</v>
      </c>
      <c r="X26" s="77">
        <v>4</v>
      </c>
      <c r="Y26" s="81"/>
      <c r="Z26" s="81"/>
      <c r="AA26" s="81"/>
      <c r="AB26" s="78" t="s">
        <v>38</v>
      </c>
      <c r="AC26" s="79"/>
      <c r="AD26" s="79"/>
    </row>
    <row r="27" spans="2:30" x14ac:dyDescent="0.25">
      <c r="O27" s="75" t="s">
        <v>352</v>
      </c>
      <c r="P27" s="76" t="s">
        <v>81</v>
      </c>
      <c r="Q27" s="77">
        <v>2</v>
      </c>
      <c r="R27" s="78" t="s">
        <v>10</v>
      </c>
      <c r="S27" s="79"/>
      <c r="T27" s="79"/>
      <c r="U27" s="77">
        <v>1</v>
      </c>
      <c r="V27" s="77">
        <v>3</v>
      </c>
      <c r="W27" s="65" t="s">
        <v>353</v>
      </c>
      <c r="X27" s="77">
        <v>4</v>
      </c>
      <c r="Y27" s="81"/>
      <c r="Z27" s="81"/>
      <c r="AA27" s="81"/>
      <c r="AB27" s="78" t="s">
        <v>11</v>
      </c>
      <c r="AC27" s="79"/>
      <c r="AD27" s="79"/>
    </row>
    <row r="28" spans="2:30" x14ac:dyDescent="0.25">
      <c r="B28" s="172" t="s">
        <v>456</v>
      </c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O28" s="75" t="s">
        <v>293</v>
      </c>
      <c r="P28" s="76" t="s">
        <v>331</v>
      </c>
      <c r="Q28" s="77">
        <v>2</v>
      </c>
      <c r="R28" s="78" t="s">
        <v>10</v>
      </c>
      <c r="S28" s="79"/>
      <c r="T28" s="79"/>
      <c r="U28" s="77">
        <v>1</v>
      </c>
      <c r="V28" s="77">
        <v>3</v>
      </c>
      <c r="W28" s="65" t="s">
        <v>7</v>
      </c>
      <c r="X28" s="77">
        <v>4</v>
      </c>
      <c r="Y28" s="81"/>
      <c r="Z28" s="81"/>
      <c r="AA28" s="81"/>
      <c r="AB28" s="78" t="s">
        <v>11</v>
      </c>
      <c r="AC28" s="79"/>
      <c r="AD28" s="79"/>
    </row>
    <row r="29" spans="2:30" x14ac:dyDescent="0.25">
      <c r="B29" s="172" t="s">
        <v>459</v>
      </c>
      <c r="C29" s="172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O29" s="75" t="s">
        <v>354</v>
      </c>
      <c r="P29" s="76" t="s">
        <v>331</v>
      </c>
      <c r="Q29" s="79"/>
      <c r="R29" s="79"/>
      <c r="S29" s="77">
        <v>1</v>
      </c>
      <c r="T29" s="78" t="s">
        <v>13</v>
      </c>
      <c r="U29" s="77">
        <v>1</v>
      </c>
      <c r="V29" s="77">
        <v>2</v>
      </c>
      <c r="W29" s="65" t="s">
        <v>355</v>
      </c>
      <c r="X29" s="77">
        <v>4</v>
      </c>
      <c r="Y29" s="81"/>
      <c r="Z29" s="81"/>
      <c r="AA29" s="81"/>
      <c r="AB29" s="78" t="s">
        <v>124</v>
      </c>
      <c r="AC29" s="79"/>
      <c r="AD29" s="79"/>
    </row>
    <row r="30" spans="2:30" x14ac:dyDescent="0.25">
      <c r="B30" s="172" t="s">
        <v>460</v>
      </c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O30" s="75" t="s">
        <v>303</v>
      </c>
      <c r="P30" s="76" t="s">
        <v>337</v>
      </c>
      <c r="Q30" s="77">
        <v>2</v>
      </c>
      <c r="R30" s="78" t="s">
        <v>25</v>
      </c>
      <c r="S30" s="77">
        <v>2</v>
      </c>
      <c r="T30" s="79"/>
      <c r="U30" s="77">
        <v>1</v>
      </c>
      <c r="V30" s="77">
        <v>5</v>
      </c>
      <c r="W30" s="65" t="s">
        <v>299</v>
      </c>
      <c r="X30" s="77">
        <v>4</v>
      </c>
      <c r="Y30" s="81"/>
      <c r="Z30" s="81"/>
      <c r="AA30" s="81"/>
      <c r="AB30" s="78" t="s">
        <v>50</v>
      </c>
      <c r="AC30" s="79"/>
      <c r="AD30" s="79"/>
    </row>
    <row r="31" spans="2:30" x14ac:dyDescent="0.25">
      <c r="B31" s="172" t="s">
        <v>465</v>
      </c>
      <c r="C31" s="172"/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O31" s="75" t="s">
        <v>356</v>
      </c>
      <c r="P31" s="76" t="s">
        <v>339</v>
      </c>
      <c r="Q31" s="77">
        <v>2</v>
      </c>
      <c r="R31" s="78" t="s">
        <v>25</v>
      </c>
      <c r="S31" s="77">
        <v>1</v>
      </c>
      <c r="T31" s="79"/>
      <c r="U31" s="77">
        <v>2</v>
      </c>
      <c r="V31" s="77">
        <v>5</v>
      </c>
      <c r="W31" s="65" t="s">
        <v>302</v>
      </c>
      <c r="X31" s="77">
        <v>4</v>
      </c>
      <c r="Y31" s="81"/>
      <c r="Z31" s="81"/>
      <c r="AA31" s="81"/>
      <c r="AB31" s="78" t="s">
        <v>55</v>
      </c>
      <c r="AC31" s="79"/>
      <c r="AD31" s="79"/>
    </row>
    <row r="32" spans="2:30" x14ac:dyDescent="0.25">
      <c r="B32" s="172" t="s">
        <v>457</v>
      </c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O32" s="66" t="s">
        <v>306</v>
      </c>
      <c r="P32" s="68" t="s">
        <v>344</v>
      </c>
      <c r="Q32" s="69">
        <v>2</v>
      </c>
      <c r="R32" s="70" t="s">
        <v>10</v>
      </c>
      <c r="S32" s="71"/>
      <c r="T32" s="71"/>
      <c r="U32" s="69">
        <v>1</v>
      </c>
      <c r="V32" s="69">
        <v>3</v>
      </c>
      <c r="W32" s="72" t="s">
        <v>7</v>
      </c>
      <c r="X32" s="69">
        <v>5</v>
      </c>
      <c r="Y32" s="74"/>
      <c r="Z32" s="74"/>
      <c r="AA32" s="74"/>
      <c r="AB32" s="71"/>
      <c r="AC32" s="70" t="s">
        <v>11</v>
      </c>
      <c r="AD32" s="71"/>
    </row>
    <row r="33" spans="2:30" x14ac:dyDescent="0.25">
      <c r="B33" s="172" t="s">
        <v>458</v>
      </c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O33" s="66" t="s">
        <v>307</v>
      </c>
      <c r="P33" s="68" t="s">
        <v>344</v>
      </c>
      <c r="Q33" s="71"/>
      <c r="R33" s="71"/>
      <c r="S33" s="69">
        <v>2</v>
      </c>
      <c r="T33" s="70" t="s">
        <v>13</v>
      </c>
      <c r="U33" s="69">
        <v>1</v>
      </c>
      <c r="V33" s="69">
        <v>3</v>
      </c>
      <c r="W33" s="72" t="s">
        <v>294</v>
      </c>
      <c r="X33" s="69">
        <v>5</v>
      </c>
      <c r="Y33" s="74"/>
      <c r="Z33" s="74"/>
      <c r="AA33" s="74"/>
      <c r="AB33" s="71"/>
      <c r="AC33" s="70" t="s">
        <v>14</v>
      </c>
      <c r="AD33" s="71"/>
    </row>
    <row r="34" spans="2:30" x14ac:dyDescent="0.25">
      <c r="B34" s="172" t="s">
        <v>461</v>
      </c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O34" s="66" t="s">
        <v>298</v>
      </c>
      <c r="P34" s="68" t="s">
        <v>334</v>
      </c>
      <c r="Q34" s="69">
        <v>2</v>
      </c>
      <c r="R34" s="70" t="s">
        <v>10</v>
      </c>
      <c r="S34" s="71"/>
      <c r="T34" s="71"/>
      <c r="U34" s="69">
        <v>1</v>
      </c>
      <c r="V34" s="69">
        <v>3</v>
      </c>
      <c r="W34" s="72" t="s">
        <v>295</v>
      </c>
      <c r="X34" s="69">
        <v>5</v>
      </c>
      <c r="Y34" s="74"/>
      <c r="Z34" s="74"/>
      <c r="AA34" s="74"/>
      <c r="AB34" s="71"/>
      <c r="AC34" s="70" t="s">
        <v>11</v>
      </c>
      <c r="AD34" s="71"/>
    </row>
    <row r="35" spans="2:30" x14ac:dyDescent="0.25">
      <c r="B35" s="172" t="s">
        <v>463</v>
      </c>
      <c r="C35" s="172"/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O35" s="66" t="s">
        <v>283</v>
      </c>
      <c r="P35" s="68" t="s">
        <v>325</v>
      </c>
      <c r="Q35" s="71"/>
      <c r="R35" s="71"/>
      <c r="S35" s="69">
        <v>2</v>
      </c>
      <c r="T35" s="70" t="s">
        <v>13</v>
      </c>
      <c r="U35" s="69">
        <v>1</v>
      </c>
      <c r="V35" s="69">
        <v>3</v>
      </c>
      <c r="W35" s="72" t="s">
        <v>280</v>
      </c>
      <c r="X35" s="69">
        <v>5</v>
      </c>
      <c r="Y35" s="74"/>
      <c r="Z35" s="74"/>
      <c r="AA35" s="74"/>
      <c r="AB35" s="71"/>
      <c r="AC35" s="70" t="s">
        <v>14</v>
      </c>
      <c r="AD35" s="71"/>
    </row>
    <row r="36" spans="2:30" x14ac:dyDescent="0.25">
      <c r="B36" s="193" t="s">
        <v>464</v>
      </c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O36" s="66" t="s">
        <v>281</v>
      </c>
      <c r="P36" s="68" t="s">
        <v>323</v>
      </c>
      <c r="Q36" s="69">
        <v>2</v>
      </c>
      <c r="R36" s="70" t="s">
        <v>10</v>
      </c>
      <c r="S36" s="71"/>
      <c r="T36" s="71"/>
      <c r="U36" s="69">
        <v>1</v>
      </c>
      <c r="V36" s="69">
        <v>3</v>
      </c>
      <c r="W36" s="72" t="s">
        <v>7</v>
      </c>
      <c r="X36" s="69">
        <v>5</v>
      </c>
      <c r="Y36" s="74"/>
      <c r="Z36" s="74"/>
      <c r="AA36" s="74"/>
      <c r="AB36" s="71"/>
      <c r="AC36" s="70" t="s">
        <v>11</v>
      </c>
      <c r="AD36" s="71"/>
    </row>
    <row r="37" spans="2:30" x14ac:dyDescent="0.25">
      <c r="B37" s="193"/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O37" s="66" t="s">
        <v>357</v>
      </c>
      <c r="P37" s="68" t="s">
        <v>323</v>
      </c>
      <c r="Q37" s="71"/>
      <c r="R37" s="71"/>
      <c r="S37" s="69">
        <v>1</v>
      </c>
      <c r="T37" s="70" t="s">
        <v>13</v>
      </c>
      <c r="U37" s="69">
        <v>1</v>
      </c>
      <c r="V37" s="69">
        <v>2</v>
      </c>
      <c r="W37" s="72" t="s">
        <v>358</v>
      </c>
      <c r="X37" s="69">
        <v>5</v>
      </c>
      <c r="Y37" s="74"/>
      <c r="Z37" s="74"/>
      <c r="AA37" s="74"/>
      <c r="AB37" s="71"/>
      <c r="AC37" s="70" t="s">
        <v>124</v>
      </c>
      <c r="AD37" s="71"/>
    </row>
    <row r="38" spans="2:30" x14ac:dyDescent="0.25">
      <c r="B38" s="172" t="s">
        <v>462</v>
      </c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O38" s="66" t="s">
        <v>359</v>
      </c>
      <c r="P38" s="68" t="s">
        <v>341</v>
      </c>
      <c r="Q38" s="69">
        <v>2</v>
      </c>
      <c r="R38" s="70" t="s">
        <v>25</v>
      </c>
      <c r="S38" s="69">
        <v>1</v>
      </c>
      <c r="T38" s="71"/>
      <c r="U38" s="69">
        <v>1</v>
      </c>
      <c r="V38" s="69">
        <v>4</v>
      </c>
      <c r="W38" s="72" t="s">
        <v>360</v>
      </c>
      <c r="X38" s="69">
        <v>5</v>
      </c>
      <c r="Y38" s="74"/>
      <c r="Z38" s="74"/>
      <c r="AA38" s="74"/>
      <c r="AB38" s="71"/>
      <c r="AC38" s="70" t="s">
        <v>55</v>
      </c>
      <c r="AD38" s="71"/>
    </row>
    <row r="39" spans="2:30" x14ac:dyDescent="0.25">
      <c r="B39" s="172" t="s">
        <v>537</v>
      </c>
      <c r="C39" s="172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O39" s="66" t="s">
        <v>361</v>
      </c>
      <c r="P39" s="68" t="s">
        <v>340</v>
      </c>
      <c r="Q39" s="69">
        <v>2</v>
      </c>
      <c r="R39" s="70" t="s">
        <v>25</v>
      </c>
      <c r="S39" s="69">
        <v>1</v>
      </c>
      <c r="T39" s="71"/>
      <c r="U39" s="69">
        <v>2</v>
      </c>
      <c r="V39" s="69">
        <v>5</v>
      </c>
      <c r="W39" s="72" t="s">
        <v>362</v>
      </c>
      <c r="X39" s="69">
        <v>5</v>
      </c>
      <c r="Y39" s="74"/>
      <c r="Z39" s="74"/>
      <c r="AA39" s="74"/>
      <c r="AB39" s="71"/>
      <c r="AC39" s="70" t="s">
        <v>55</v>
      </c>
      <c r="AD39" s="71"/>
    </row>
    <row r="40" spans="2:30" x14ac:dyDescent="0.25">
      <c r="O40" s="75" t="s">
        <v>308</v>
      </c>
      <c r="P40" s="76" t="s">
        <v>345</v>
      </c>
      <c r="Q40" s="77">
        <v>2</v>
      </c>
      <c r="R40" s="78" t="s">
        <v>10</v>
      </c>
      <c r="S40" s="79"/>
      <c r="T40" s="79"/>
      <c r="U40" s="77">
        <v>1</v>
      </c>
      <c r="V40" s="77">
        <v>3</v>
      </c>
      <c r="W40" s="65" t="s">
        <v>306</v>
      </c>
      <c r="X40" s="77">
        <v>6</v>
      </c>
      <c r="Y40" s="81"/>
      <c r="Z40" s="81"/>
      <c r="AA40" s="81"/>
      <c r="AB40" s="79"/>
      <c r="AC40" s="79"/>
      <c r="AD40" s="78" t="s">
        <v>11</v>
      </c>
    </row>
    <row r="41" spans="2:30" x14ac:dyDescent="0.25">
      <c r="O41" s="75" t="s">
        <v>282</v>
      </c>
      <c r="P41" s="76" t="s">
        <v>324</v>
      </c>
      <c r="Q41" s="79"/>
      <c r="R41" s="79"/>
      <c r="S41" s="77">
        <v>2</v>
      </c>
      <c r="T41" s="78" t="s">
        <v>13</v>
      </c>
      <c r="U41" s="77">
        <v>1</v>
      </c>
      <c r="V41" s="77">
        <v>3</v>
      </c>
      <c r="W41" s="65" t="s">
        <v>281</v>
      </c>
      <c r="X41" s="77">
        <v>6</v>
      </c>
      <c r="Y41" s="81"/>
      <c r="Z41" s="81"/>
      <c r="AA41" s="81"/>
      <c r="AB41" s="79"/>
      <c r="AC41" s="79"/>
      <c r="AD41" s="78" t="s">
        <v>14</v>
      </c>
    </row>
    <row r="42" spans="2:30" x14ac:dyDescent="0.25">
      <c r="O42" s="75" t="s">
        <v>305</v>
      </c>
      <c r="P42" s="76" t="s">
        <v>343</v>
      </c>
      <c r="Q42" s="77">
        <v>2</v>
      </c>
      <c r="R42" s="78" t="s">
        <v>10</v>
      </c>
      <c r="S42" s="79"/>
      <c r="T42" s="79"/>
      <c r="U42" s="77">
        <v>1</v>
      </c>
      <c r="V42" s="77">
        <v>3</v>
      </c>
      <c r="W42" s="65" t="s">
        <v>7</v>
      </c>
      <c r="X42" s="77">
        <v>6</v>
      </c>
      <c r="Y42" s="81"/>
      <c r="Z42" s="81"/>
      <c r="AA42" s="81"/>
      <c r="AB42" s="79"/>
      <c r="AC42" s="79"/>
      <c r="AD42" s="78" t="s">
        <v>11</v>
      </c>
    </row>
    <row r="43" spans="2:30" x14ac:dyDescent="0.25">
      <c r="O43" s="75" t="s">
        <v>363</v>
      </c>
      <c r="P43" s="82" t="s">
        <v>544</v>
      </c>
      <c r="Q43" s="79"/>
      <c r="R43" s="79"/>
      <c r="S43" s="77">
        <v>1</v>
      </c>
      <c r="T43" s="78" t="s">
        <v>13</v>
      </c>
      <c r="U43" s="77">
        <v>1</v>
      </c>
      <c r="V43" s="77">
        <v>2</v>
      </c>
      <c r="W43" s="65" t="s">
        <v>364</v>
      </c>
      <c r="X43" s="77">
        <v>6</v>
      </c>
      <c r="Y43" s="81"/>
      <c r="Z43" s="81"/>
      <c r="AA43" s="81"/>
      <c r="AB43" s="79"/>
      <c r="AC43" s="79"/>
      <c r="AD43" s="78" t="s">
        <v>124</v>
      </c>
    </row>
    <row r="44" spans="2:30" x14ac:dyDescent="0.25">
      <c r="O44" s="75" t="s">
        <v>365</v>
      </c>
      <c r="P44" s="76" t="s">
        <v>349</v>
      </c>
      <c r="Q44" s="79"/>
      <c r="R44" s="79"/>
      <c r="S44" s="77">
        <v>2</v>
      </c>
      <c r="T44" s="78" t="s">
        <v>13</v>
      </c>
      <c r="U44" s="77">
        <v>1</v>
      </c>
      <c r="V44" s="77">
        <v>3</v>
      </c>
      <c r="W44" s="65" t="s">
        <v>366</v>
      </c>
      <c r="X44" s="77">
        <v>6</v>
      </c>
      <c r="Y44" s="81"/>
      <c r="Z44" s="81"/>
      <c r="AA44" s="81"/>
      <c r="AB44" s="79"/>
      <c r="AC44" s="79"/>
      <c r="AD44" s="78" t="s">
        <v>14</v>
      </c>
    </row>
    <row r="45" spans="2:30" x14ac:dyDescent="0.25">
      <c r="O45" s="75" t="s">
        <v>367</v>
      </c>
      <c r="P45" s="76" t="s">
        <v>346</v>
      </c>
      <c r="Q45" s="77">
        <v>1</v>
      </c>
      <c r="R45" s="78" t="s">
        <v>10</v>
      </c>
      <c r="S45" s="79"/>
      <c r="T45" s="79"/>
      <c r="U45" s="77">
        <v>1</v>
      </c>
      <c r="V45" s="77">
        <v>2</v>
      </c>
      <c r="W45" s="65" t="s">
        <v>383</v>
      </c>
      <c r="X45" s="77">
        <v>6</v>
      </c>
      <c r="Y45" s="81"/>
      <c r="Z45" s="81"/>
      <c r="AA45" s="81"/>
      <c r="AB45" s="79"/>
      <c r="AC45" s="79"/>
      <c r="AD45" s="78" t="s">
        <v>368</v>
      </c>
    </row>
    <row r="46" spans="2:30" x14ac:dyDescent="0.25">
      <c r="O46" s="75" t="s">
        <v>309</v>
      </c>
      <c r="P46" s="76" t="s">
        <v>346</v>
      </c>
      <c r="Q46" s="79"/>
      <c r="R46" s="79"/>
      <c r="S46" s="77">
        <v>2</v>
      </c>
      <c r="T46" s="78" t="s">
        <v>13</v>
      </c>
      <c r="U46" s="79"/>
      <c r="V46" s="77">
        <v>2</v>
      </c>
      <c r="W46" s="65" t="s">
        <v>382</v>
      </c>
      <c r="X46" s="77">
        <v>6</v>
      </c>
      <c r="Y46" s="81"/>
      <c r="Z46" s="81"/>
      <c r="AA46" s="81"/>
      <c r="AB46" s="79"/>
      <c r="AC46" s="79"/>
      <c r="AD46" s="78" t="s">
        <v>14</v>
      </c>
    </row>
    <row r="47" spans="2:30" x14ac:dyDescent="0.25">
      <c r="O47" s="75" t="s">
        <v>304</v>
      </c>
      <c r="P47" s="76" t="s">
        <v>342</v>
      </c>
      <c r="Q47" s="77">
        <v>2</v>
      </c>
      <c r="R47" s="78" t="s">
        <v>10</v>
      </c>
      <c r="S47" s="79"/>
      <c r="T47" s="79"/>
      <c r="U47" s="77">
        <v>1</v>
      </c>
      <c r="V47" s="77">
        <v>3</v>
      </c>
      <c r="W47" s="65" t="s">
        <v>7</v>
      </c>
      <c r="X47" s="77">
        <v>6</v>
      </c>
      <c r="Y47" s="81"/>
      <c r="Z47" s="81"/>
      <c r="AA47" s="81"/>
      <c r="AB47" s="79"/>
      <c r="AC47" s="79"/>
      <c r="AD47" s="78" t="s">
        <v>11</v>
      </c>
    </row>
    <row r="48" spans="2:30" x14ac:dyDescent="0.25">
      <c r="O48" s="75" t="s">
        <v>369</v>
      </c>
      <c r="P48" s="76" t="s">
        <v>342</v>
      </c>
      <c r="Q48" s="79"/>
      <c r="R48" s="79"/>
      <c r="S48" s="77">
        <v>1</v>
      </c>
      <c r="T48" s="78" t="s">
        <v>13</v>
      </c>
      <c r="U48" s="77">
        <v>1</v>
      </c>
      <c r="V48" s="77">
        <v>2</v>
      </c>
      <c r="W48" s="65" t="s">
        <v>384</v>
      </c>
      <c r="X48" s="77">
        <v>6</v>
      </c>
      <c r="Y48" s="81"/>
      <c r="Z48" s="81"/>
      <c r="AA48" s="81"/>
      <c r="AB48" s="79"/>
      <c r="AC48" s="79"/>
      <c r="AD48" s="78" t="s">
        <v>124</v>
      </c>
    </row>
    <row r="49" spans="15:30" x14ac:dyDescent="0.25">
      <c r="O49" s="75" t="s">
        <v>291</v>
      </c>
      <c r="P49" s="76" t="s">
        <v>330</v>
      </c>
      <c r="Q49" s="77">
        <v>2</v>
      </c>
      <c r="R49" s="78" t="s">
        <v>10</v>
      </c>
      <c r="S49" s="79"/>
      <c r="T49" s="79"/>
      <c r="U49" s="77">
        <v>1</v>
      </c>
      <c r="V49" s="77">
        <v>3</v>
      </c>
      <c r="W49" s="65" t="s">
        <v>7</v>
      </c>
      <c r="X49" s="77">
        <v>6</v>
      </c>
      <c r="Y49" s="81"/>
      <c r="Z49" s="81"/>
      <c r="AA49" s="81"/>
      <c r="AB49" s="79"/>
      <c r="AC49" s="79"/>
      <c r="AD49" s="78" t="s">
        <v>11</v>
      </c>
    </row>
    <row r="50" spans="15:30" x14ac:dyDescent="0.25">
      <c r="O50" s="75" t="s">
        <v>292</v>
      </c>
      <c r="P50" s="76" t="s">
        <v>330</v>
      </c>
      <c r="Q50" s="79"/>
      <c r="R50" s="79"/>
      <c r="S50" s="77">
        <v>1</v>
      </c>
      <c r="T50" s="78" t="s">
        <v>13</v>
      </c>
      <c r="U50" s="77">
        <v>1</v>
      </c>
      <c r="V50" s="77">
        <v>2</v>
      </c>
      <c r="W50" s="65" t="s">
        <v>278</v>
      </c>
      <c r="X50" s="77">
        <v>6</v>
      </c>
      <c r="Y50" s="81"/>
      <c r="Z50" s="81"/>
      <c r="AA50" s="81"/>
      <c r="AB50" s="79"/>
      <c r="AC50" s="79"/>
      <c r="AD50" s="78" t="s">
        <v>124</v>
      </c>
    </row>
    <row r="51" spans="15:30" x14ac:dyDescent="0.25">
      <c r="O51" s="75" t="s">
        <v>370</v>
      </c>
      <c r="P51" s="76" t="s">
        <v>348</v>
      </c>
      <c r="Q51" s="77">
        <v>1</v>
      </c>
      <c r="R51" s="79"/>
      <c r="S51" s="77">
        <v>1</v>
      </c>
      <c r="T51" s="78" t="s">
        <v>13</v>
      </c>
      <c r="U51" s="77">
        <v>1</v>
      </c>
      <c r="V51" s="77">
        <v>3</v>
      </c>
      <c r="W51" s="65" t="s">
        <v>371</v>
      </c>
      <c r="X51" s="77">
        <v>6</v>
      </c>
      <c r="Y51" s="81"/>
      <c r="Z51" s="81"/>
      <c r="AA51" s="81"/>
      <c r="AB51" s="79"/>
      <c r="AC51" s="79"/>
      <c r="AD51" s="78" t="s">
        <v>58</v>
      </c>
    </row>
    <row r="52" spans="15:30" x14ac:dyDescent="0.25">
      <c r="O52" s="83" t="s">
        <v>310</v>
      </c>
      <c r="P52" s="84" t="s">
        <v>311</v>
      </c>
      <c r="Q52" s="85"/>
      <c r="R52" s="85"/>
      <c r="S52" s="85"/>
      <c r="T52" s="85"/>
      <c r="U52" s="85"/>
      <c r="V52" s="86">
        <v>20</v>
      </c>
      <c r="W52" s="87"/>
      <c r="X52" s="86">
        <v>6</v>
      </c>
      <c r="Y52" s="87"/>
      <c r="Z52" s="87"/>
      <c r="AA52" s="87"/>
      <c r="AB52" s="85"/>
      <c r="AC52" s="85"/>
      <c r="AD52" s="86">
        <v>20</v>
      </c>
    </row>
    <row r="53" spans="15:30" x14ac:dyDescent="0.25">
      <c r="O53" s="88"/>
      <c r="P53" s="66" t="s">
        <v>67</v>
      </c>
      <c r="Q53" s="71"/>
      <c r="R53" s="71"/>
      <c r="S53" s="71"/>
      <c r="T53" s="71"/>
      <c r="U53" s="71"/>
      <c r="V53" s="71"/>
      <c r="W53" s="74"/>
      <c r="X53" s="71"/>
      <c r="Y53" s="73" t="s">
        <v>312</v>
      </c>
      <c r="Z53" s="73" t="s">
        <v>313</v>
      </c>
      <c r="AA53" s="73" t="s">
        <v>314</v>
      </c>
      <c r="AB53" s="70" t="s">
        <v>315</v>
      </c>
      <c r="AC53" s="70" t="s">
        <v>315</v>
      </c>
      <c r="AD53" s="70" t="s">
        <v>316</v>
      </c>
    </row>
    <row r="54" spans="15:30" x14ac:dyDescent="0.25">
      <c r="O54" s="88"/>
      <c r="P54" s="66" t="s">
        <v>372</v>
      </c>
      <c r="Q54" s="71"/>
      <c r="R54" s="71"/>
      <c r="S54" s="71"/>
      <c r="T54" s="71"/>
      <c r="U54" s="71"/>
      <c r="V54" s="69">
        <v>9</v>
      </c>
      <c r="W54" s="74"/>
      <c r="X54" s="70" t="s">
        <v>373</v>
      </c>
      <c r="Y54" s="89">
        <v>3</v>
      </c>
      <c r="Z54" s="89">
        <v>3</v>
      </c>
      <c r="AA54" s="89">
        <v>3</v>
      </c>
      <c r="AB54" s="71"/>
      <c r="AC54" s="71"/>
      <c r="AD54" s="71"/>
    </row>
    <row r="55" spans="15:30" x14ac:dyDescent="0.25">
      <c r="O55" s="88"/>
      <c r="P55" s="66" t="s">
        <v>73</v>
      </c>
      <c r="Q55" s="71"/>
      <c r="R55" s="71"/>
      <c r="S55" s="71"/>
      <c r="T55" s="71"/>
      <c r="U55" s="71"/>
      <c r="V55" s="71"/>
      <c r="W55" s="74"/>
      <c r="X55" s="71"/>
      <c r="Y55" s="89">
        <v>27</v>
      </c>
      <c r="Z55" s="89">
        <v>28</v>
      </c>
      <c r="AA55" s="89">
        <v>28</v>
      </c>
      <c r="AB55" s="69">
        <v>26</v>
      </c>
      <c r="AC55" s="69">
        <v>26</v>
      </c>
      <c r="AD55" s="69">
        <v>25</v>
      </c>
    </row>
    <row r="56" spans="15:30" x14ac:dyDescent="0.25">
      <c r="O56" s="88"/>
      <c r="P56" s="66" t="s">
        <v>74</v>
      </c>
      <c r="Q56" s="71"/>
      <c r="R56" s="71"/>
      <c r="S56" s="71"/>
      <c r="T56" s="71"/>
      <c r="U56" s="71"/>
      <c r="V56" s="69">
        <v>180</v>
      </c>
      <c r="W56" s="74"/>
      <c r="X56" s="71"/>
      <c r="Y56" s="74"/>
      <c r="Z56" s="74"/>
      <c r="AA56" s="74"/>
      <c r="AB56" s="71"/>
      <c r="AC56" s="71"/>
      <c r="AD56" s="71"/>
    </row>
    <row r="57" spans="15:30" x14ac:dyDescent="0.25">
      <c r="O57" s="225" t="s">
        <v>374</v>
      </c>
      <c r="P57" s="225"/>
      <c r="Q57" s="225"/>
      <c r="R57" s="225"/>
      <c r="S57" s="225"/>
      <c r="T57" s="225"/>
      <c r="U57" s="225"/>
      <c r="V57" s="225"/>
      <c r="W57" s="225"/>
      <c r="X57" s="225"/>
      <c r="Y57" s="225"/>
      <c r="Z57" s="225"/>
      <c r="AA57" s="225"/>
      <c r="AB57" s="225"/>
      <c r="AC57" s="225"/>
      <c r="AD57" s="225"/>
    </row>
    <row r="58" spans="15:30" x14ac:dyDescent="0.25">
      <c r="O58" s="223" t="s">
        <v>375</v>
      </c>
      <c r="P58" s="223"/>
      <c r="Q58" s="223"/>
      <c r="R58" s="223"/>
      <c r="S58" s="223"/>
      <c r="T58" s="223"/>
      <c r="U58" s="223"/>
      <c r="V58" s="223"/>
      <c r="W58" s="223"/>
      <c r="X58" s="223"/>
      <c r="Y58" s="223"/>
      <c r="Z58" s="223"/>
      <c r="AA58" s="223"/>
      <c r="AB58" s="223"/>
      <c r="AC58" s="223"/>
      <c r="AD58" s="223"/>
    </row>
    <row r="59" spans="15:30" s="61" customFormat="1" x14ac:dyDescent="0.25">
      <c r="O59" s="227" t="s">
        <v>377</v>
      </c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  <c r="AA59" s="228"/>
      <c r="AB59" s="228"/>
      <c r="AC59" s="228"/>
      <c r="AD59" s="228"/>
    </row>
    <row r="60" spans="15:30" s="61" customFormat="1" x14ac:dyDescent="0.25">
      <c r="O60" s="229" t="s">
        <v>378</v>
      </c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  <c r="AA60" s="227"/>
      <c r="AB60" s="227"/>
      <c r="AC60" s="227"/>
      <c r="AD60" s="227"/>
    </row>
    <row r="61" spans="15:30" s="61" customFormat="1" x14ac:dyDescent="0.25">
      <c r="O61" s="228" t="s">
        <v>379</v>
      </c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  <c r="AA61" s="227"/>
      <c r="AB61" s="227"/>
      <c r="AC61" s="227"/>
      <c r="AD61" s="227"/>
    </row>
    <row r="62" spans="15:30" x14ac:dyDescent="0.25">
      <c r="O62" s="229" t="s">
        <v>380</v>
      </c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  <c r="AA62" s="228"/>
      <c r="AB62" s="228"/>
      <c r="AC62" s="228"/>
      <c r="AD62" s="228"/>
    </row>
    <row r="63" spans="15:30" x14ac:dyDescent="0.25">
      <c r="O63" s="228" t="s">
        <v>376</v>
      </c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  <c r="AA63" s="228"/>
      <c r="AB63" s="228"/>
      <c r="AC63" s="228"/>
      <c r="AD63" s="228"/>
    </row>
    <row r="64" spans="15:30" x14ac:dyDescent="0.25">
      <c r="O64" s="229" t="s">
        <v>381</v>
      </c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  <c r="AA64" s="228"/>
      <c r="AB64" s="228"/>
      <c r="AC64" s="228"/>
      <c r="AD64" s="228"/>
    </row>
    <row r="65" spans="15:30" x14ac:dyDescent="0.25">
      <c r="O65" s="230" t="s">
        <v>273</v>
      </c>
      <c r="P65" s="231"/>
      <c r="Q65" s="231"/>
      <c r="R65" s="231"/>
      <c r="S65" s="231"/>
      <c r="T65" s="231"/>
      <c r="U65" s="231"/>
      <c r="V65" s="231"/>
      <c r="W65" s="231"/>
      <c r="X65" s="231"/>
      <c r="Y65" s="231"/>
      <c r="Z65" s="231"/>
      <c r="AA65" s="231"/>
      <c r="AB65" s="231"/>
      <c r="AC65" s="231"/>
      <c r="AD65" s="231"/>
    </row>
    <row r="66" spans="15:30" x14ac:dyDescent="0.25">
      <c r="O66" s="227" t="s">
        <v>274</v>
      </c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  <c r="AA66" s="227"/>
      <c r="AB66" s="227"/>
      <c r="AC66" s="227"/>
      <c r="AD66" s="227"/>
    </row>
    <row r="67" spans="15:30" x14ac:dyDescent="0.25">
      <c r="O67" s="227" t="s">
        <v>542</v>
      </c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  <c r="AA67" s="227"/>
      <c r="AB67" s="227"/>
      <c r="AC67" s="227"/>
      <c r="AD67" s="227"/>
    </row>
    <row r="68" spans="15:30" x14ac:dyDescent="0.25">
      <c r="O68" s="226">
        <v>42684.457638888889</v>
      </c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  <c r="AB68" s="193"/>
      <c r="AC68" s="193"/>
      <c r="AD68" s="193"/>
    </row>
    <row r="69" spans="15:30" x14ac:dyDescent="0.25">
      <c r="O69" s="214" t="s">
        <v>551</v>
      </c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3"/>
      <c r="AB69" s="193"/>
      <c r="AC69" s="193"/>
      <c r="AD69" s="193"/>
    </row>
  </sheetData>
  <sortState ref="O3:AD51">
    <sortCondition ref="X3:X51"/>
    <sortCondition ref="P3:P51"/>
  </sortState>
  <mergeCells count="76">
    <mergeCell ref="O69:AD69"/>
    <mergeCell ref="E5:E7"/>
    <mergeCell ref="D5:D7"/>
    <mergeCell ref="B28:M28"/>
    <mergeCell ref="B29:M29"/>
    <mergeCell ref="L10:M10"/>
    <mergeCell ref="L9:M9"/>
    <mergeCell ref="C8:C10"/>
    <mergeCell ref="B8:B10"/>
    <mergeCell ref="L7:M8"/>
    <mergeCell ref="K7:K8"/>
    <mergeCell ref="J7:J8"/>
    <mergeCell ref="B15:C22"/>
    <mergeCell ref="D15:E19"/>
    <mergeCell ref="F15:F16"/>
    <mergeCell ref="G15:G16"/>
    <mergeCell ref="B30:M30"/>
    <mergeCell ref="B31:M31"/>
    <mergeCell ref="B32:M32"/>
    <mergeCell ref="B33:M33"/>
    <mergeCell ref="D24:E24"/>
    <mergeCell ref="B26:C26"/>
    <mergeCell ref="D26:E26"/>
    <mergeCell ref="F26:G26"/>
    <mergeCell ref="H26:I26"/>
    <mergeCell ref="J26:K26"/>
    <mergeCell ref="L26:M26"/>
    <mergeCell ref="J15:K15"/>
    <mergeCell ref="L16:M16"/>
    <mergeCell ref="H17:I17"/>
    <mergeCell ref="J17:K17"/>
    <mergeCell ref="L17:M17"/>
    <mergeCell ref="F18:G18"/>
    <mergeCell ref="L19:M20"/>
    <mergeCell ref="H20:I22"/>
    <mergeCell ref="L21:L22"/>
    <mergeCell ref="M21:M22"/>
    <mergeCell ref="J22:K23"/>
    <mergeCell ref="B23:C23"/>
    <mergeCell ref="B11:B14"/>
    <mergeCell ref="C11:C14"/>
    <mergeCell ref="D11:D12"/>
    <mergeCell ref="E11:E12"/>
    <mergeCell ref="J3:K3"/>
    <mergeCell ref="F11:G11"/>
    <mergeCell ref="H12:H13"/>
    <mergeCell ref="I12:I13"/>
    <mergeCell ref="F13:F14"/>
    <mergeCell ref="H14:I14"/>
    <mergeCell ref="F5:F6"/>
    <mergeCell ref="O68:AD68"/>
    <mergeCell ref="O59:AD59"/>
    <mergeCell ref="O60:AD60"/>
    <mergeCell ref="O61:AD61"/>
    <mergeCell ref="O62:AD62"/>
    <mergeCell ref="O63:AD63"/>
    <mergeCell ref="O64:AD64"/>
    <mergeCell ref="O65:AD65"/>
    <mergeCell ref="O66:AD66"/>
    <mergeCell ref="O67:AD67"/>
    <mergeCell ref="O58:AD58"/>
    <mergeCell ref="O1:AD1"/>
    <mergeCell ref="J5:K5"/>
    <mergeCell ref="H5:I5"/>
    <mergeCell ref="B34:M34"/>
    <mergeCell ref="B35:M35"/>
    <mergeCell ref="L3:M3"/>
    <mergeCell ref="O57:AD57"/>
    <mergeCell ref="B38:M38"/>
    <mergeCell ref="B36:M36"/>
    <mergeCell ref="B37:M37"/>
    <mergeCell ref="B39:M39"/>
    <mergeCell ref="B3:C3"/>
    <mergeCell ref="D3:E3"/>
    <mergeCell ref="F3:G3"/>
    <mergeCell ref="H3:I3"/>
  </mergeCells>
  <hyperlinks>
    <hyperlink ref="P10" r:id="rId1" display="http://www.inf.elte.hu/karunkrol/oktatas/tantervek/tematika/PTIBScABCTE/Analizis_1_E_hun.pdf" xr:uid="{00000000-0004-0000-0400-000000000000}"/>
    <hyperlink ref="P11" r:id="rId2" display="http://www.inf.elte.hu/karunkrol/oktatas/tantervek/tematika/PTIBScABCTE/Analizis_1_E_hun.pdf" xr:uid="{00000000-0004-0000-0400-000001000000}"/>
    <hyperlink ref="P18" r:id="rId3" display="http://www.inf.elte.hu/karunkrol/oktatas/tantervek/tematika/PTIBScABCTE/Analizis_2_E_hun.pdf" xr:uid="{00000000-0004-0000-0400-000002000000}"/>
    <hyperlink ref="P19" r:id="rId4" display="http://www.inf.elte.hu/karunkrol/oktatas/tantervek/tematika/PTIBScABCTE/Analizis_2_E_hun.pdf" xr:uid="{00000000-0004-0000-0400-000003000000}"/>
    <hyperlink ref="P26" r:id="rId5" display="http://www.inf.elte.hu/karunkrol/oktatas/tantervek/tematika/PTIBScABCTE/Analizis_3_BCE_hun.pdf" xr:uid="{00000000-0004-0000-0400-000004000000}"/>
    <hyperlink ref="P36" r:id="rId6" display="http://www.inf.elte.hu/karunkrol/oktatas/tantervek/tematika/PTIBScABCTE/Numerikus_modszerek_1_E_hun.pdf" xr:uid="{00000000-0004-0000-0400-000005000000}"/>
    <hyperlink ref="P37" r:id="rId7" display="http://www.inf.elte.hu/karunkrol/oktatas/tantervek/tematika/PTIBScABCTE/Numerikus_modszerek_1_E_hun.pdf" xr:uid="{00000000-0004-0000-0400-000006000000}"/>
    <hyperlink ref="P41" r:id="rId8" display="http://www.inf.elte.hu/karunkrol/oktatas/tantervek/tematika/PTIBScABCTE/Numerikus_modszerek_2_E_hun.pdf" xr:uid="{00000000-0004-0000-0400-000007000000}"/>
    <hyperlink ref="P35" r:id="rId9" display="http://www.inf.elte.hu/karunkrol/oktatas/tantervek/tematika/PTIBScABCTE/Modellek_es_algoritmusok_CE_hun.pdf" xr:uid="{00000000-0004-0000-0400-000008000000}"/>
    <hyperlink ref="P3" r:id="rId10" display="http://www.inf.elte.hu/karunkrol/oktatas/tantervek/tematika/PTIBScABCTE/Diszkret_matematika_1_E_hun.pdf" xr:uid="{00000000-0004-0000-0400-000009000000}"/>
    <hyperlink ref="P5" r:id="rId11" display="http://www.inf.elte.hu/karunkrol/oktatas/tantervek/tematika/PTIBScABCTE/Diszkret_matematika_1_E_hun.pdf" xr:uid="{00000000-0004-0000-0400-00000A000000}"/>
    <hyperlink ref="P12" r:id="rId12" display="http://www.inf.elte.hu/karunkrol/oktatas/tantervek/tematika/PTIBScABCTE/Diszkret_matematika_2_E_hun.pdf" xr:uid="{00000000-0004-0000-0400-00000B000000}"/>
    <hyperlink ref="P13" r:id="rId13" display="http://www.inf.elte.hu/karunkrol/oktatas/tantervek/tematika/PTIBScABCTE/Diszkret_matematika_2_E_hun.pdf" xr:uid="{00000000-0004-0000-0400-00000C000000}"/>
    <hyperlink ref="P20" r:id="rId14" display="http://www.inf.elte.hu/karunkrol/oktatas/tantervek/tematika/PTIBScABCTE/Diszkret_matematika_3_E_hun.pdf" xr:uid="{00000000-0004-0000-0400-00000D000000}"/>
    <hyperlink ref="P6" r:id="rId15" display="http://www.inf.elte.hu/karunkrol/oktatas/tantervek/tematika/PTIBScABCTE/Linearis_algebra_E_hun.pdf" xr:uid="{00000000-0004-0000-0400-00000E000000}"/>
    <hyperlink ref="P7" r:id="rId16" display="http://www.inf.elte.hu/karunkrol/oktatas/tantervek/tematika/PTIBScABCTE/Linearis_algebra_E_hun.pdf" xr:uid="{00000000-0004-0000-0400-00000F000000}"/>
    <hyperlink ref="P49" r:id="rId17" display="http://www.inf.elte.hu/karunkrol/oktatas/tantervek/tematika/PTIBScABCTE/Valoszinusegszamitas_es_statisztika_E_hun.pdf" xr:uid="{00000000-0004-0000-0400-000010000000}"/>
    <hyperlink ref="P50" r:id="rId18" display="http://www.inf.elte.hu/karunkrol/oktatas/tantervek/tematika/PTIBScABCTE/Valoszinusegszamitas_es_statisztika_E_hun.pdf" xr:uid="{00000000-0004-0000-0400-000011000000}"/>
    <hyperlink ref="P28" r:id="rId19" display="http://www.inf.elte.hu/karunkrol/oktatas/tantervek/tematika/PTIBScABCTE/Logika_es_szamitaselmelet_E_hun.pdf" xr:uid="{00000000-0004-0000-0400-000012000000}"/>
    <hyperlink ref="P29" r:id="rId20" display="http://www.inf.elte.hu/karunkrol/oktatas/tantervek/tematika/PTIBScABCTE/Logika_es_szamitaselmelet_E_hun.pdf" xr:uid="{00000000-0004-0000-0400-000013000000}"/>
    <hyperlink ref="P16" r:id="rId21" display="http://www.inf.elte.hu/karunkrol/oktatas/tantervek/tematika/PTIBScABCTE/Algoritmusok_es_adatszerkezetek_1_E_hun.pdf" xr:uid="{00000000-0004-0000-0400-000014000000}"/>
    <hyperlink ref="P17" r:id="rId22" display="http://www.inf.elte.hu/karunkrol/oktatas/tantervek/tematika/PTIBScABCTE/Algoritmusok_es_adatszerkezetek_1_E_hun.pdf" xr:uid="{00000000-0004-0000-0400-000015000000}"/>
    <hyperlink ref="P24" r:id="rId23" display="http://www.inf.elte.hu/karunkrol/oktatas/tantervek/tematika/PTIBScABCTE/Algoritmusok_es_adatszerkezetek_2_E_hun.pdf" xr:uid="{00000000-0004-0000-0400-000016000000}"/>
    <hyperlink ref="P21" r:id="rId24" display="http://www.inf.elte.hu/karunkrol/oktatas/tantervek/tematika/PTIBScABCTE/Formalis_nyelvek_es_automatak_ABCE_hun.pdf" xr:uid="{00000000-0004-0000-0400-000017000000}"/>
    <hyperlink ref="P22" r:id="rId25" display="http://www.inf.elte.hu/karunkrol/oktatas/tantervek/tematika/PTIBScABCTE/Formalis_nyelvek_es_automatak_ABCE_hun.pdf" xr:uid="{00000000-0004-0000-0400-000018000000}"/>
    <hyperlink ref="P34" r:id="rId26" display="http://www.inf.elte.hu/karunkrol/oktatas/tantervek/tematika/PTIBScABCTE/Mesterseges_intelligencia_ABCTE_hun.pdf" xr:uid="{00000000-0004-0000-0400-000019000000}"/>
    <hyperlink ref="P8" r:id="rId27" display="http://www.inf.elte.hu/karunkrol/oktatas/tantervek/tematika/PTIBScABCTE/Programozasi_alapismeretek_E_hun.pdf" xr:uid="{00000000-0004-0000-0400-00001A000000}"/>
    <hyperlink ref="P9" r:id="rId28" display="http://www.inf.elte.hu/karunkrol/oktatas/tantervek/tematika/PTIBScABCTE/Szamitogepes_alapismeretek_E_hun.pdf" xr:uid="{00000000-0004-0000-0400-00001B000000}"/>
    <hyperlink ref="P15" r:id="rId29" display="http://www.inf.elte.hu/karunkrol/oktatas/tantervek/tematika/PTIBScABCTE/Programozas_E_hun.pdf" xr:uid="{00000000-0004-0000-0400-00001C000000}"/>
    <hyperlink ref="P30" r:id="rId30" display="http://www.inf.elte.hu/karunkrol/oktatas/tantervek/tematika/PTIBScABCTE/Programozasi_nyelvek_(C)_BCTE_hun.pdf" xr:uid="{00000000-0004-0000-0400-00001D000000}"/>
    <hyperlink ref="P23" r:id="rId31" display="http://www.inf.elte.hu/karunkrol/oktatas/tantervek/tematika/PTIBScABCTE/Programozasi_nyelvek_(JAVA)_E_hun.pdf" xr:uid="{00000000-0004-0000-0400-00001E000000}"/>
    <hyperlink ref="P31" r:id="rId32" display="http://www.inf.elte.hu/karunkrol/oktatas/tantervek/tematika/PTIBScABCTE/Programozasi_technologia_1_E_hun.pdf" xr:uid="{00000000-0004-0000-0400-00001F000000}"/>
    <hyperlink ref="P39" r:id="rId33" display="http://www.inf.elte.hu/karunkrol/oktatas/tantervek/tematika/PTIBScABCTE/Programozasi_technologia_2_E_hun.pdf" xr:uid="{00000000-0004-0000-0400-000020000000}"/>
    <hyperlink ref="P27" r:id="rId34" display="http://www.inf.elte.hu/karunkrol/oktatas/tantervek/tematika/PTIBScABCTE/Forditoprogramok_E_hun.pdf" xr:uid="{00000000-0004-0000-0400-000021000000}"/>
    <hyperlink ref="P38" r:id="rId35" display="http://www.inf.elte.hu/karunkrol/oktatas/tantervek/tematika/PTIBScABCTE/Operacios_rendszerek_ABCE_hun.pdf" xr:uid="{00000000-0004-0000-0400-000022000000}"/>
    <hyperlink ref="P47" r:id="rId36" display="http://www.inf.elte.hu/karunkrol/oktatas/tantervek/tematika/PTIBScABCTE/Szamitogepes_halozatok_E_hun.pdf" xr:uid="{00000000-0004-0000-0400-000023000000}"/>
    <hyperlink ref="P48" r:id="rId37" display="http://www.inf.elte.hu/karunkrol/oktatas/tantervek/tematika/PTIBScABCTE/Szamitogepes_halozatok_E_hun.pdf" xr:uid="{00000000-0004-0000-0400-000024000000}"/>
    <hyperlink ref="P42" r:id="rId38" display="http://www.inf.elte.hu/karunkrol/oktatas/tantervek/tematika/PTIBScABCTE/Osztott_rendszerek_E_hun.pdf" xr:uid="{00000000-0004-0000-0400-000025000000}"/>
    <hyperlink ref="P43" r:id="rId39" display="http://www.inf.elte.hu/karunkrol/oktatas/tantervek/tematika/PTIBScABCTE/Osztott_rendszerek_E_hun.pdf" xr:uid="{00000000-0004-0000-0400-000026000000}"/>
    <hyperlink ref="P32" r:id="rId40" display="http://www.inf.elte.hu/karunkrol/oktatas/tantervek/tematika/PTIBScABCTE/Adatbazisok_1_E_hun.pdf" xr:uid="{00000000-0004-0000-0400-000027000000}"/>
    <hyperlink ref="P33" r:id="rId41" display="http://www.inf.elte.hu/karunkrol/oktatas/tantervek/tematika/PTIBScABCTE/Adatbazisok_1_E_hun.pdf" xr:uid="{00000000-0004-0000-0400-000028000000}"/>
    <hyperlink ref="P40" r:id="rId42" display="http://www.inf.elte.hu/karunkrol/oktatas/tantervek/tematika/PTIBScABCTE/Adatbazisok_2_E_hun.pdf" xr:uid="{00000000-0004-0000-0400-000029000000}"/>
    <hyperlink ref="P45" r:id="rId43" display="http://www.inf.elte.hu/karunkrol/oktatas/tantervek/tematika/PTIBScABCTE/Szamitogepes_grafika_E_hun.pdf" xr:uid="{00000000-0004-0000-0400-00002A000000}"/>
    <hyperlink ref="P46" r:id="rId44" display="http://www.inf.elte.hu/karunkrol/oktatas/tantervek/tematika/PTIBScABCTE/Szamitogepes_grafika_E_hun.pdf" xr:uid="{00000000-0004-0000-0400-00002B000000}"/>
    <hyperlink ref="P14" r:id="rId45" display="http://www.inf.elte.hu/karunkrol/oktatas/tantervek/tematika/PTIBScABCTE/Jogi_es_menedzsment_alapismeretek_ABC_hun.pdf" xr:uid="{00000000-0004-0000-0400-00002C000000}"/>
    <hyperlink ref="P25" r:id="rId46" display="http://www.inf.elte.hu/karunkrol/oktatas/tantervek/tematika/PTIBScABCTE/Algoritmusok_es_adatszerkezetek_2_E_hun.pdf" xr:uid="{00000000-0004-0000-0400-00002D000000}"/>
    <hyperlink ref="P51" r:id="rId47" display="http://www.inf.elte.hu/karunkrol/oktatas/tantervek/tematika/PTIBScABCTE/Webes_alkalmazasok_fejlesztese_B_hun.pdf" xr:uid="{00000000-0004-0000-0400-00002E000000}"/>
    <hyperlink ref="P44" r:id="rId48" display="http://www.inf.elte.hu/karunkrol/oktatas/tantervek/tematika/PTIBScABCTE/Projekteszkozok_C_hun.pdf" xr:uid="{00000000-0004-0000-0400-00002F000000}"/>
    <hyperlink ref="O69" r:id="rId49" xr:uid="{00000000-0004-0000-0400-00003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J62"/>
  <sheetViews>
    <sheetView topLeftCell="I3" workbookViewId="0">
      <selection activeCell="R3" sqref="R3"/>
    </sheetView>
  </sheetViews>
  <sheetFormatPr defaultRowHeight="15" x14ac:dyDescent="0.25"/>
  <cols>
    <col min="1" max="1" width="1.85546875" style="21" customWidth="1"/>
    <col min="2" max="5" width="14.28515625" style="21" bestFit="1" customWidth="1"/>
    <col min="6" max="7" width="13.140625" style="21" bestFit="1" customWidth="1"/>
    <col min="8" max="9" width="12.7109375" style="21" bestFit="1" customWidth="1"/>
    <col min="10" max="11" width="17.28515625" style="21" bestFit="1" customWidth="1"/>
    <col min="12" max="13" width="15.28515625" style="21" bestFit="1" customWidth="1"/>
    <col min="14" max="15" width="18.5703125" style="21" bestFit="1" customWidth="1"/>
    <col min="16" max="16" width="30.85546875" style="21" bestFit="1" customWidth="1"/>
    <col min="17" max="17" width="17.5703125" style="21" bestFit="1" customWidth="1"/>
    <col min="18" max="18" width="4.5703125" style="21" customWidth="1"/>
    <col min="19" max="19" width="16" style="21" bestFit="1" customWidth="1"/>
    <col min="20" max="20" width="51.5703125" style="21" bestFit="1" customWidth="1"/>
    <col min="21" max="25" width="3.7109375" style="21" bestFit="1" customWidth="1"/>
    <col min="26" max="26" width="4" style="21" bestFit="1" customWidth="1"/>
    <col min="27" max="27" width="57" style="4" bestFit="1" customWidth="1"/>
    <col min="28" max="28" width="5.140625" style="21" bestFit="1" customWidth="1"/>
    <col min="29" max="36" width="6.7109375" style="21" bestFit="1" customWidth="1"/>
    <col min="37" max="16384" width="9.140625" style="21"/>
  </cols>
  <sheetData>
    <row r="1" spans="2:36" x14ac:dyDescent="0.25">
      <c r="S1" s="122" t="s">
        <v>272</v>
      </c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</row>
    <row r="2" spans="2:36" s="4" customFormat="1" ht="70.5" thickBot="1" x14ac:dyDescent="0.3">
      <c r="S2" s="33" t="s">
        <v>182</v>
      </c>
      <c r="T2" s="33" t="s">
        <v>183</v>
      </c>
      <c r="U2" s="34" t="s">
        <v>0</v>
      </c>
      <c r="V2" s="34" t="s">
        <v>1</v>
      </c>
      <c r="W2" s="34" t="s">
        <v>2</v>
      </c>
      <c r="X2" s="34" t="s">
        <v>184</v>
      </c>
      <c r="Y2" s="34" t="s">
        <v>3</v>
      </c>
      <c r="Z2" s="34" t="s">
        <v>4</v>
      </c>
      <c r="AA2" s="33" t="s">
        <v>185</v>
      </c>
      <c r="AB2" s="34" t="s">
        <v>85</v>
      </c>
      <c r="AC2" s="34" t="s">
        <v>186</v>
      </c>
      <c r="AD2" s="34" t="s">
        <v>187</v>
      </c>
      <c r="AE2" s="34" t="s">
        <v>188</v>
      </c>
      <c r="AF2" s="34" t="s">
        <v>189</v>
      </c>
      <c r="AG2" s="34" t="s">
        <v>190</v>
      </c>
      <c r="AH2" s="34" t="s">
        <v>191</v>
      </c>
      <c r="AI2" s="34" t="s">
        <v>256</v>
      </c>
      <c r="AJ2" s="34" t="s">
        <v>385</v>
      </c>
    </row>
    <row r="3" spans="2:36" ht="16.5" thickTop="1" thickBot="1" x14ac:dyDescent="0.3">
      <c r="B3" s="156" t="s">
        <v>186</v>
      </c>
      <c r="C3" s="157"/>
      <c r="D3" s="156" t="s">
        <v>187</v>
      </c>
      <c r="E3" s="157"/>
      <c r="F3" s="156" t="s">
        <v>188</v>
      </c>
      <c r="G3" s="157"/>
      <c r="H3" s="156" t="s">
        <v>189</v>
      </c>
      <c r="I3" s="157"/>
      <c r="J3" s="156" t="s">
        <v>190</v>
      </c>
      <c r="K3" s="157"/>
      <c r="L3" s="156" t="s">
        <v>191</v>
      </c>
      <c r="M3" s="157"/>
      <c r="N3" s="156" t="s">
        <v>256</v>
      </c>
      <c r="O3" s="157"/>
      <c r="P3" s="156" t="s">
        <v>385</v>
      </c>
      <c r="Q3" s="157"/>
      <c r="S3" s="90" t="s">
        <v>284</v>
      </c>
      <c r="T3" s="40" t="s">
        <v>326</v>
      </c>
      <c r="U3" s="41">
        <v>2</v>
      </c>
      <c r="V3" s="42" t="s">
        <v>10</v>
      </c>
      <c r="W3" s="43"/>
      <c r="X3" s="43"/>
      <c r="Y3" s="41">
        <v>1</v>
      </c>
      <c r="Z3" s="41">
        <v>3</v>
      </c>
      <c r="AA3" s="42" t="s">
        <v>7</v>
      </c>
      <c r="AB3" s="41">
        <v>1</v>
      </c>
      <c r="AC3" s="42" t="s">
        <v>11</v>
      </c>
      <c r="AD3" s="43"/>
      <c r="AE3" s="43"/>
      <c r="AF3" s="43"/>
      <c r="AG3" s="43"/>
      <c r="AH3" s="43"/>
      <c r="AI3" s="43"/>
      <c r="AJ3" s="43"/>
    </row>
    <row r="4" spans="2:36" s="60" customFormat="1" ht="15.75" hidden="1" thickTop="1" x14ac:dyDescent="0.25"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S4" s="101"/>
      <c r="T4" s="45"/>
      <c r="U4" s="46"/>
      <c r="V4" s="47"/>
      <c r="W4" s="48"/>
      <c r="X4" s="48"/>
      <c r="Y4" s="46"/>
      <c r="Z4" s="46"/>
      <c r="AA4" s="47"/>
      <c r="AB4" s="46"/>
      <c r="AC4" s="47"/>
      <c r="AD4" s="48"/>
      <c r="AE4" s="48"/>
      <c r="AF4" s="48"/>
      <c r="AG4" s="48"/>
      <c r="AH4" s="48"/>
      <c r="AI4" s="48"/>
      <c r="AJ4" s="48"/>
    </row>
    <row r="5" spans="2:36" ht="15.75" thickTop="1" x14ac:dyDescent="0.25">
      <c r="B5" s="1"/>
      <c r="C5" s="2"/>
      <c r="D5" s="136" t="s">
        <v>428</v>
      </c>
      <c r="E5" s="136" t="s">
        <v>429</v>
      </c>
      <c r="F5" s="136" t="s">
        <v>415</v>
      </c>
      <c r="G5" s="3"/>
      <c r="H5" s="173" t="s">
        <v>435</v>
      </c>
      <c r="I5" s="174"/>
      <c r="J5" s="173" t="s">
        <v>421</v>
      </c>
      <c r="K5" s="174"/>
      <c r="L5" s="4"/>
      <c r="M5" s="4"/>
      <c r="S5" s="90" t="s">
        <v>285</v>
      </c>
      <c r="T5" s="40" t="s">
        <v>326</v>
      </c>
      <c r="U5" s="43"/>
      <c r="V5" s="43"/>
      <c r="W5" s="41">
        <v>1</v>
      </c>
      <c r="X5" s="42" t="s">
        <v>13</v>
      </c>
      <c r="Y5" s="41">
        <v>2</v>
      </c>
      <c r="Z5" s="41">
        <v>3</v>
      </c>
      <c r="AA5" s="42" t="s">
        <v>7</v>
      </c>
      <c r="AB5" s="41">
        <v>1</v>
      </c>
      <c r="AC5" s="42" t="s">
        <v>124</v>
      </c>
      <c r="AD5" s="43"/>
      <c r="AE5" s="43"/>
      <c r="AF5" s="43"/>
      <c r="AG5" s="43"/>
      <c r="AH5" s="43"/>
      <c r="AI5" s="43"/>
      <c r="AJ5" s="43"/>
    </row>
    <row r="6" spans="2:36" x14ac:dyDescent="0.25">
      <c r="B6" s="1"/>
      <c r="C6" s="2"/>
      <c r="D6" s="137"/>
      <c r="E6" s="137"/>
      <c r="F6" s="138"/>
      <c r="G6" s="5" t="s">
        <v>416</v>
      </c>
      <c r="H6" s="4"/>
      <c r="I6" s="4"/>
      <c r="J6" s="100"/>
      <c r="K6" s="100"/>
      <c r="L6" s="100"/>
      <c r="M6" s="100"/>
      <c r="N6" s="6" t="s">
        <v>244</v>
      </c>
      <c r="O6" s="6" t="s">
        <v>441</v>
      </c>
      <c r="S6" s="90" t="s">
        <v>289</v>
      </c>
      <c r="T6" s="40" t="s">
        <v>329</v>
      </c>
      <c r="U6" s="41">
        <v>2</v>
      </c>
      <c r="V6" s="42" t="s">
        <v>10</v>
      </c>
      <c r="W6" s="43"/>
      <c r="X6" s="43"/>
      <c r="Y6" s="41">
        <v>1</v>
      </c>
      <c r="Z6" s="41">
        <v>3</v>
      </c>
      <c r="AA6" s="42" t="s">
        <v>7</v>
      </c>
      <c r="AB6" s="41">
        <v>1</v>
      </c>
      <c r="AC6" s="42" t="s">
        <v>11</v>
      </c>
      <c r="AD6" s="43"/>
      <c r="AE6" s="43"/>
      <c r="AF6" s="43"/>
      <c r="AG6" s="43"/>
      <c r="AH6" s="43"/>
      <c r="AI6" s="43"/>
      <c r="AJ6" s="43"/>
    </row>
    <row r="7" spans="2:36" x14ac:dyDescent="0.25">
      <c r="B7" s="7"/>
      <c r="C7" s="8"/>
      <c r="D7" s="138"/>
      <c r="E7" s="138"/>
      <c r="F7" s="100"/>
      <c r="G7" s="100"/>
      <c r="H7" s="100"/>
      <c r="I7" s="100"/>
      <c r="J7" s="158" t="s">
        <v>422</v>
      </c>
      <c r="K7" s="158" t="s">
        <v>423</v>
      </c>
      <c r="L7" s="161" t="s">
        <v>442</v>
      </c>
      <c r="M7" s="164"/>
      <c r="S7" s="90" t="s">
        <v>290</v>
      </c>
      <c r="T7" s="40" t="s">
        <v>329</v>
      </c>
      <c r="U7" s="43"/>
      <c r="V7" s="43"/>
      <c r="W7" s="41">
        <v>1</v>
      </c>
      <c r="X7" s="42" t="s">
        <v>13</v>
      </c>
      <c r="Y7" s="41">
        <v>2</v>
      </c>
      <c r="Z7" s="41">
        <v>3</v>
      </c>
      <c r="AA7" s="42" t="s">
        <v>7</v>
      </c>
      <c r="AB7" s="41">
        <v>1</v>
      </c>
      <c r="AC7" s="42" t="s">
        <v>124</v>
      </c>
      <c r="AD7" s="43"/>
      <c r="AE7" s="43"/>
      <c r="AF7" s="43"/>
      <c r="AG7" s="43"/>
      <c r="AH7" s="43"/>
      <c r="AI7" s="43"/>
      <c r="AJ7" s="43"/>
    </row>
    <row r="8" spans="2:36" x14ac:dyDescent="0.25">
      <c r="B8" s="158" t="s">
        <v>411</v>
      </c>
      <c r="C8" s="158" t="s">
        <v>410</v>
      </c>
      <c r="D8" s="4"/>
      <c r="E8" s="4"/>
      <c r="F8" s="100"/>
      <c r="G8" s="100"/>
      <c r="H8" s="100"/>
      <c r="I8" s="100"/>
      <c r="J8" s="160"/>
      <c r="K8" s="160"/>
      <c r="L8" s="162"/>
      <c r="M8" s="166"/>
      <c r="S8" s="90" t="s">
        <v>299</v>
      </c>
      <c r="T8" s="40" t="s">
        <v>335</v>
      </c>
      <c r="U8" s="41">
        <v>2</v>
      </c>
      <c r="V8" s="42" t="s">
        <v>25</v>
      </c>
      <c r="W8" s="41">
        <v>2</v>
      </c>
      <c r="X8" s="43"/>
      <c r="Y8" s="41">
        <v>3</v>
      </c>
      <c r="Z8" s="41">
        <v>7</v>
      </c>
      <c r="AA8" s="42" t="s">
        <v>7</v>
      </c>
      <c r="AB8" s="41">
        <v>1</v>
      </c>
      <c r="AC8" s="42" t="s">
        <v>50</v>
      </c>
      <c r="AD8" s="43"/>
      <c r="AE8" s="43"/>
      <c r="AF8" s="43"/>
      <c r="AG8" s="43"/>
      <c r="AH8" s="43"/>
      <c r="AI8" s="43"/>
      <c r="AJ8" s="43"/>
    </row>
    <row r="9" spans="2:36" x14ac:dyDescent="0.25">
      <c r="B9" s="159"/>
      <c r="C9" s="159"/>
      <c r="D9" s="4"/>
      <c r="E9" s="4"/>
      <c r="F9" s="4"/>
      <c r="G9" s="4"/>
      <c r="H9" s="100"/>
      <c r="I9" s="100"/>
      <c r="J9" s="4"/>
      <c r="K9" s="4"/>
      <c r="L9" s="100"/>
      <c r="M9" s="100"/>
      <c r="N9" s="134" t="s">
        <v>443</v>
      </c>
      <c r="O9" s="135"/>
      <c r="S9" s="90" t="s">
        <v>300</v>
      </c>
      <c r="T9" s="40" t="s">
        <v>336</v>
      </c>
      <c r="U9" s="41">
        <v>1</v>
      </c>
      <c r="V9" s="42" t="s">
        <v>25</v>
      </c>
      <c r="W9" s="41">
        <v>1</v>
      </c>
      <c r="X9" s="43"/>
      <c r="Y9" s="41">
        <v>3</v>
      </c>
      <c r="Z9" s="41">
        <v>5</v>
      </c>
      <c r="AA9" s="42" t="s">
        <v>7</v>
      </c>
      <c r="AB9" s="41">
        <v>1</v>
      </c>
      <c r="AC9" s="42" t="s">
        <v>301</v>
      </c>
      <c r="AD9" s="43"/>
      <c r="AE9" s="43"/>
      <c r="AF9" s="43"/>
      <c r="AG9" s="43"/>
      <c r="AH9" s="43"/>
      <c r="AI9" s="43"/>
      <c r="AJ9" s="43"/>
    </row>
    <row r="10" spans="2:36" x14ac:dyDescent="0.25">
      <c r="B10" s="160"/>
      <c r="C10" s="160"/>
      <c r="D10" s="4"/>
      <c r="E10" s="4"/>
      <c r="F10" s="4"/>
      <c r="G10" s="4"/>
      <c r="H10" s="100"/>
      <c r="I10" s="100"/>
      <c r="J10" s="4"/>
      <c r="K10" s="4"/>
      <c r="L10" s="100"/>
      <c r="M10" s="100"/>
      <c r="N10" s="134" t="s">
        <v>444</v>
      </c>
      <c r="O10" s="135"/>
      <c r="S10" s="101" t="s">
        <v>276</v>
      </c>
      <c r="T10" s="45" t="s">
        <v>319</v>
      </c>
      <c r="U10" s="46">
        <v>2</v>
      </c>
      <c r="V10" s="47" t="s">
        <v>10</v>
      </c>
      <c r="W10" s="48"/>
      <c r="X10" s="48"/>
      <c r="Y10" s="46">
        <v>1</v>
      </c>
      <c r="Z10" s="46">
        <v>3</v>
      </c>
      <c r="AA10" s="47" t="s">
        <v>7</v>
      </c>
      <c r="AB10" s="46">
        <v>2</v>
      </c>
      <c r="AC10" s="48"/>
      <c r="AD10" s="47" t="s">
        <v>11</v>
      </c>
      <c r="AE10" s="48"/>
      <c r="AF10" s="48"/>
      <c r="AG10" s="48"/>
      <c r="AH10" s="48"/>
      <c r="AI10" s="48"/>
      <c r="AJ10" s="48"/>
    </row>
    <row r="11" spans="2:36" x14ac:dyDescent="0.25">
      <c r="B11" s="175" t="s">
        <v>412</v>
      </c>
      <c r="C11" s="175" t="s">
        <v>413</v>
      </c>
      <c r="D11" s="175" t="s">
        <v>431</v>
      </c>
      <c r="E11" s="175" t="s">
        <v>432</v>
      </c>
      <c r="F11" s="232" t="s">
        <v>452</v>
      </c>
      <c r="G11" s="233"/>
      <c r="H11" s="18"/>
      <c r="I11" s="1"/>
      <c r="J11" s="4"/>
      <c r="K11" s="4"/>
      <c r="L11" s="4"/>
      <c r="M11" s="4"/>
      <c r="S11" s="101" t="s">
        <v>277</v>
      </c>
      <c r="T11" s="45" t="s">
        <v>319</v>
      </c>
      <c r="U11" s="48"/>
      <c r="V11" s="48"/>
      <c r="W11" s="46">
        <v>1</v>
      </c>
      <c r="X11" s="47" t="s">
        <v>13</v>
      </c>
      <c r="Y11" s="46">
        <v>2</v>
      </c>
      <c r="Z11" s="46">
        <v>3</v>
      </c>
      <c r="AA11" s="47" t="s">
        <v>7</v>
      </c>
      <c r="AB11" s="46">
        <v>2</v>
      </c>
      <c r="AC11" s="48"/>
      <c r="AD11" s="47" t="s">
        <v>124</v>
      </c>
      <c r="AE11" s="48"/>
      <c r="AF11" s="48"/>
      <c r="AG11" s="48"/>
      <c r="AH11" s="48"/>
      <c r="AI11" s="48"/>
      <c r="AJ11" s="48"/>
    </row>
    <row r="12" spans="2:36" x14ac:dyDescent="0.25">
      <c r="B12" s="176"/>
      <c r="C12" s="176"/>
      <c r="D12" s="177"/>
      <c r="E12" s="177"/>
      <c r="F12" s="10"/>
      <c r="G12" s="20"/>
      <c r="H12" s="100"/>
      <c r="I12" s="100"/>
      <c r="J12" s="4"/>
      <c r="K12" s="4"/>
      <c r="L12" s="175" t="s">
        <v>436</v>
      </c>
      <c r="M12" s="175" t="s">
        <v>437</v>
      </c>
      <c r="S12" s="101" t="s">
        <v>286</v>
      </c>
      <c r="T12" s="45" t="s">
        <v>327</v>
      </c>
      <c r="U12" s="46">
        <v>2</v>
      </c>
      <c r="V12" s="47" t="s">
        <v>10</v>
      </c>
      <c r="W12" s="48"/>
      <c r="X12" s="48"/>
      <c r="Y12" s="46">
        <v>1</v>
      </c>
      <c r="Z12" s="46">
        <v>3</v>
      </c>
      <c r="AA12" s="47" t="s">
        <v>391</v>
      </c>
      <c r="AB12" s="46">
        <v>2</v>
      </c>
      <c r="AC12" s="48"/>
      <c r="AD12" s="47" t="s">
        <v>11</v>
      </c>
      <c r="AE12" s="48"/>
      <c r="AF12" s="48"/>
      <c r="AG12" s="48"/>
      <c r="AH12" s="48"/>
      <c r="AI12" s="48"/>
      <c r="AJ12" s="48"/>
    </row>
    <row r="13" spans="2:36" x14ac:dyDescent="0.25">
      <c r="B13" s="176"/>
      <c r="C13" s="176"/>
      <c r="D13" s="100"/>
      <c r="E13" s="100"/>
      <c r="F13" s="178" t="s">
        <v>417</v>
      </c>
      <c r="G13" s="12" t="s">
        <v>418</v>
      </c>
      <c r="H13" s="100"/>
      <c r="I13" s="100"/>
      <c r="J13" s="4"/>
      <c r="K13" s="4"/>
      <c r="L13" s="177"/>
      <c r="M13" s="177"/>
      <c r="S13" s="101" t="s">
        <v>287</v>
      </c>
      <c r="T13" s="45" t="s">
        <v>327</v>
      </c>
      <c r="U13" s="48"/>
      <c r="V13" s="48"/>
      <c r="W13" s="46">
        <v>1</v>
      </c>
      <c r="X13" s="47" t="s">
        <v>13</v>
      </c>
      <c r="Y13" s="46">
        <v>2</v>
      </c>
      <c r="Z13" s="46">
        <v>3</v>
      </c>
      <c r="AA13" s="47" t="s">
        <v>7</v>
      </c>
      <c r="AB13" s="46">
        <v>2</v>
      </c>
      <c r="AC13" s="48"/>
      <c r="AD13" s="47" t="s">
        <v>124</v>
      </c>
      <c r="AE13" s="48"/>
      <c r="AF13" s="48"/>
      <c r="AG13" s="48"/>
      <c r="AH13" s="48"/>
      <c r="AI13" s="48"/>
      <c r="AJ13" s="48"/>
    </row>
    <row r="14" spans="2:36" x14ac:dyDescent="0.25">
      <c r="B14" s="177"/>
      <c r="C14" s="177"/>
      <c r="D14" s="100"/>
      <c r="E14" s="100"/>
      <c r="F14" s="180"/>
      <c r="G14" s="9"/>
      <c r="H14" s="100"/>
      <c r="I14" s="100"/>
      <c r="J14" s="100"/>
      <c r="K14" s="100"/>
      <c r="L14" s="234" t="s">
        <v>453</v>
      </c>
      <c r="M14" s="235"/>
      <c r="S14" s="101" t="s">
        <v>302</v>
      </c>
      <c r="T14" s="45" t="s">
        <v>82</v>
      </c>
      <c r="U14" s="46">
        <v>2</v>
      </c>
      <c r="V14" s="47" t="s">
        <v>25</v>
      </c>
      <c r="W14" s="46">
        <v>4</v>
      </c>
      <c r="X14" s="48"/>
      <c r="Y14" s="46">
        <v>4</v>
      </c>
      <c r="Z14" s="46">
        <v>10</v>
      </c>
      <c r="AA14" s="47" t="s">
        <v>396</v>
      </c>
      <c r="AB14" s="46">
        <v>2</v>
      </c>
      <c r="AC14" s="48"/>
      <c r="AD14" s="47" t="s">
        <v>52</v>
      </c>
      <c r="AE14" s="48"/>
      <c r="AF14" s="48"/>
      <c r="AG14" s="48"/>
      <c r="AH14" s="48"/>
      <c r="AI14" s="48"/>
      <c r="AJ14" s="48"/>
    </row>
    <row r="15" spans="2:36" x14ac:dyDescent="0.25">
      <c r="B15" s="128" t="s">
        <v>414</v>
      </c>
      <c r="C15" s="129"/>
      <c r="D15" s="128" t="s">
        <v>433</v>
      </c>
      <c r="E15" s="129"/>
      <c r="F15" s="153" t="s">
        <v>248</v>
      </c>
      <c r="G15" s="153" t="s">
        <v>419</v>
      </c>
      <c r="H15" s="13" t="s">
        <v>269</v>
      </c>
      <c r="I15" s="13" t="s">
        <v>438</v>
      </c>
      <c r="J15" s="100"/>
      <c r="K15" s="100"/>
      <c r="L15" s="100"/>
      <c r="M15" s="100"/>
      <c r="N15" s="126" t="s">
        <v>424</v>
      </c>
      <c r="O15" s="127"/>
      <c r="P15" s="100"/>
      <c r="Q15" s="100"/>
      <c r="S15" s="90" t="s">
        <v>294</v>
      </c>
      <c r="T15" s="40" t="s">
        <v>322</v>
      </c>
      <c r="U15" s="41">
        <v>2</v>
      </c>
      <c r="V15" s="42" t="s">
        <v>10</v>
      </c>
      <c r="W15" s="43"/>
      <c r="X15" s="43"/>
      <c r="Y15" s="41">
        <v>1</v>
      </c>
      <c r="Z15" s="41">
        <v>3</v>
      </c>
      <c r="AA15" s="42" t="s">
        <v>394</v>
      </c>
      <c r="AB15" s="41">
        <v>3</v>
      </c>
      <c r="AC15" s="43"/>
      <c r="AD15" s="43"/>
      <c r="AE15" s="42" t="s">
        <v>11</v>
      </c>
      <c r="AF15" s="43"/>
      <c r="AG15" s="43"/>
      <c r="AH15" s="43"/>
      <c r="AI15" s="43"/>
      <c r="AJ15" s="43"/>
    </row>
    <row r="16" spans="2:36" x14ac:dyDescent="0.25">
      <c r="B16" s="149"/>
      <c r="C16" s="150"/>
      <c r="D16" s="149"/>
      <c r="E16" s="150"/>
      <c r="F16" s="155"/>
      <c r="G16" s="155"/>
      <c r="H16" s="100"/>
      <c r="I16" s="100"/>
      <c r="J16" s="100"/>
      <c r="K16" s="100"/>
      <c r="L16" s="100"/>
      <c r="M16" s="100"/>
      <c r="N16" s="14" t="s">
        <v>425</v>
      </c>
      <c r="O16" s="14" t="s">
        <v>426</v>
      </c>
      <c r="P16" s="240" t="s">
        <v>445</v>
      </c>
      <c r="Q16" s="241"/>
      <c r="S16" s="90" t="s">
        <v>350</v>
      </c>
      <c r="T16" s="40" t="s">
        <v>322</v>
      </c>
      <c r="U16" s="43"/>
      <c r="V16" s="43"/>
      <c r="W16" s="41">
        <v>2</v>
      </c>
      <c r="X16" s="42" t="s">
        <v>13</v>
      </c>
      <c r="Y16" s="41">
        <v>1</v>
      </c>
      <c r="Z16" s="41">
        <v>3</v>
      </c>
      <c r="AA16" s="42" t="s">
        <v>7</v>
      </c>
      <c r="AB16" s="41">
        <v>3</v>
      </c>
      <c r="AC16" s="43"/>
      <c r="AD16" s="43"/>
      <c r="AE16" s="42" t="s">
        <v>14</v>
      </c>
      <c r="AF16" s="43"/>
      <c r="AG16" s="43"/>
      <c r="AH16" s="43"/>
      <c r="AI16" s="43"/>
      <c r="AJ16" s="43"/>
    </row>
    <row r="17" spans="2:36" x14ac:dyDescent="0.25">
      <c r="B17" s="149"/>
      <c r="C17" s="150"/>
      <c r="D17" s="149"/>
      <c r="E17" s="150"/>
      <c r="F17" s="100"/>
      <c r="G17" s="100"/>
      <c r="H17" s="216" t="s">
        <v>439</v>
      </c>
      <c r="I17" s="217"/>
      <c r="J17" s="216" t="s">
        <v>427</v>
      </c>
      <c r="K17" s="217"/>
      <c r="L17" s="100"/>
      <c r="M17" s="100"/>
      <c r="P17" s="147" t="s">
        <v>446</v>
      </c>
      <c r="Q17" s="148"/>
      <c r="S17" s="90" t="s">
        <v>278</v>
      </c>
      <c r="T17" s="40" t="s">
        <v>320</v>
      </c>
      <c r="U17" s="41">
        <v>2</v>
      </c>
      <c r="V17" s="42" t="s">
        <v>10</v>
      </c>
      <c r="W17" s="43"/>
      <c r="X17" s="43"/>
      <c r="Y17" s="41">
        <v>1</v>
      </c>
      <c r="Z17" s="41">
        <v>3</v>
      </c>
      <c r="AA17" s="42" t="s">
        <v>386</v>
      </c>
      <c r="AB17" s="41">
        <v>3</v>
      </c>
      <c r="AC17" s="43"/>
      <c r="AD17" s="43"/>
      <c r="AE17" s="42" t="s">
        <v>11</v>
      </c>
      <c r="AF17" s="43"/>
      <c r="AG17" s="43"/>
      <c r="AH17" s="43"/>
      <c r="AI17" s="43"/>
      <c r="AJ17" s="43"/>
    </row>
    <row r="18" spans="2:36" x14ac:dyDescent="0.25">
      <c r="B18" s="149"/>
      <c r="C18" s="150"/>
      <c r="D18" s="149"/>
      <c r="E18" s="150"/>
      <c r="F18" s="100"/>
      <c r="G18" s="100"/>
      <c r="H18" s="4"/>
      <c r="I18" s="4"/>
      <c r="J18" s="147" t="s">
        <v>420</v>
      </c>
      <c r="K18" s="148"/>
      <c r="L18" s="100"/>
      <c r="M18" s="100"/>
      <c r="P18" s="15" t="s">
        <v>447</v>
      </c>
      <c r="Q18" s="15" t="s">
        <v>448</v>
      </c>
      <c r="S18" s="90" t="s">
        <v>279</v>
      </c>
      <c r="T18" s="40" t="s">
        <v>320</v>
      </c>
      <c r="U18" s="43"/>
      <c r="V18" s="43"/>
      <c r="W18" s="41">
        <v>1</v>
      </c>
      <c r="X18" s="42" t="s">
        <v>13</v>
      </c>
      <c r="Y18" s="41">
        <v>1</v>
      </c>
      <c r="Z18" s="41">
        <v>2</v>
      </c>
      <c r="AA18" s="42" t="s">
        <v>7</v>
      </c>
      <c r="AB18" s="41">
        <v>3</v>
      </c>
      <c r="AC18" s="43"/>
      <c r="AD18" s="43"/>
      <c r="AE18" s="42" t="s">
        <v>124</v>
      </c>
      <c r="AF18" s="43"/>
      <c r="AG18" s="43"/>
      <c r="AH18" s="43"/>
      <c r="AI18" s="43"/>
      <c r="AJ18" s="43"/>
    </row>
    <row r="19" spans="2:36" x14ac:dyDescent="0.25">
      <c r="B19" s="149"/>
      <c r="C19" s="150"/>
      <c r="D19" s="151"/>
      <c r="E19" s="152"/>
      <c r="F19" s="25"/>
      <c r="G19" s="25"/>
      <c r="H19" s="4"/>
      <c r="I19" s="4"/>
      <c r="J19" s="1"/>
      <c r="K19" s="1"/>
      <c r="L19" s="236" t="s">
        <v>449</v>
      </c>
      <c r="M19" s="210"/>
      <c r="S19" s="90" t="s">
        <v>288</v>
      </c>
      <c r="T19" s="40" t="s">
        <v>328</v>
      </c>
      <c r="U19" s="41">
        <v>2</v>
      </c>
      <c r="V19" s="42" t="s">
        <v>10</v>
      </c>
      <c r="W19" s="43"/>
      <c r="X19" s="43"/>
      <c r="Y19" s="41">
        <v>2</v>
      </c>
      <c r="Z19" s="41">
        <v>4</v>
      </c>
      <c r="AA19" s="42" t="s">
        <v>392</v>
      </c>
      <c r="AB19" s="41">
        <v>3</v>
      </c>
      <c r="AC19" s="43"/>
      <c r="AD19" s="43"/>
      <c r="AE19" s="42" t="s">
        <v>11</v>
      </c>
      <c r="AF19" s="43"/>
      <c r="AG19" s="43"/>
      <c r="AH19" s="43"/>
      <c r="AI19" s="43"/>
      <c r="AJ19" s="43"/>
    </row>
    <row r="20" spans="2:36" x14ac:dyDescent="0.25">
      <c r="B20" s="149"/>
      <c r="C20" s="150"/>
      <c r="D20" s="16"/>
      <c r="E20" s="17"/>
      <c r="F20" s="4"/>
      <c r="G20" s="4"/>
      <c r="H20" s="181" t="s">
        <v>440</v>
      </c>
      <c r="I20" s="182"/>
      <c r="J20" s="18"/>
      <c r="K20" s="1"/>
      <c r="L20" s="237"/>
      <c r="M20" s="211"/>
      <c r="S20" s="90" t="s">
        <v>296</v>
      </c>
      <c r="T20" s="40" t="s">
        <v>333</v>
      </c>
      <c r="U20" s="41">
        <v>2</v>
      </c>
      <c r="V20" s="42" t="s">
        <v>10</v>
      </c>
      <c r="W20" s="43"/>
      <c r="X20" s="43"/>
      <c r="Y20" s="43"/>
      <c r="Z20" s="41">
        <v>2</v>
      </c>
      <c r="AA20" s="42" t="s">
        <v>391</v>
      </c>
      <c r="AB20" s="41">
        <v>3</v>
      </c>
      <c r="AC20" s="43"/>
      <c r="AD20" s="43"/>
      <c r="AE20" s="42" t="s">
        <v>11</v>
      </c>
      <c r="AF20" s="43"/>
      <c r="AG20" s="43"/>
      <c r="AH20" s="43"/>
      <c r="AI20" s="43"/>
      <c r="AJ20" s="43"/>
    </row>
    <row r="21" spans="2:36" x14ac:dyDescent="0.25">
      <c r="B21" s="149"/>
      <c r="C21" s="150"/>
      <c r="D21" s="18"/>
      <c r="E21" s="1"/>
      <c r="F21" s="4"/>
      <c r="G21" s="4"/>
      <c r="H21" s="183"/>
      <c r="I21" s="184"/>
      <c r="J21" s="100"/>
      <c r="K21" s="100"/>
      <c r="L21" s="100"/>
      <c r="M21" s="102"/>
      <c r="N21" s="1"/>
      <c r="O21" s="2"/>
      <c r="P21" s="238" t="s">
        <v>451</v>
      </c>
      <c r="Q21" s="238" t="s">
        <v>450</v>
      </c>
      <c r="S21" s="90" t="s">
        <v>297</v>
      </c>
      <c r="T21" s="40" t="s">
        <v>333</v>
      </c>
      <c r="U21" s="43"/>
      <c r="V21" s="43"/>
      <c r="W21" s="41">
        <v>2</v>
      </c>
      <c r="X21" s="42" t="s">
        <v>13</v>
      </c>
      <c r="Y21" s="43"/>
      <c r="Z21" s="41">
        <v>2</v>
      </c>
      <c r="AA21" s="43"/>
      <c r="AB21" s="41">
        <v>3</v>
      </c>
      <c r="AC21" s="43"/>
      <c r="AD21" s="43"/>
      <c r="AE21" s="42" t="s">
        <v>14</v>
      </c>
      <c r="AF21" s="43"/>
      <c r="AG21" s="43"/>
      <c r="AH21" s="43"/>
      <c r="AI21" s="43"/>
      <c r="AJ21" s="43"/>
    </row>
    <row r="22" spans="2:36" x14ac:dyDescent="0.25">
      <c r="B22" s="151"/>
      <c r="C22" s="152"/>
      <c r="D22" s="18"/>
      <c r="E22" s="1"/>
      <c r="F22" s="4"/>
      <c r="G22" s="4"/>
      <c r="H22" s="185"/>
      <c r="I22" s="186"/>
      <c r="J22" s="100"/>
      <c r="K22" s="100"/>
      <c r="L22" s="187" t="s">
        <v>536</v>
      </c>
      <c r="M22" s="188"/>
      <c r="N22" s="103"/>
      <c r="O22" s="100"/>
      <c r="P22" s="239"/>
      <c r="Q22" s="239"/>
      <c r="S22" s="101" t="s">
        <v>295</v>
      </c>
      <c r="T22" s="45" t="s">
        <v>332</v>
      </c>
      <c r="U22" s="46">
        <v>2</v>
      </c>
      <c r="V22" s="47" t="s">
        <v>10</v>
      </c>
      <c r="W22" s="48"/>
      <c r="X22" s="48"/>
      <c r="Y22" s="46">
        <v>2</v>
      </c>
      <c r="Z22" s="46">
        <v>4</v>
      </c>
      <c r="AA22" s="47" t="s">
        <v>395</v>
      </c>
      <c r="AB22" s="46">
        <v>4</v>
      </c>
      <c r="AC22" s="48"/>
      <c r="AD22" s="48"/>
      <c r="AE22" s="48"/>
      <c r="AF22" s="47" t="s">
        <v>11</v>
      </c>
      <c r="AG22" s="48"/>
      <c r="AH22" s="48"/>
      <c r="AI22" s="48"/>
      <c r="AJ22" s="48"/>
    </row>
    <row r="23" spans="2:36" x14ac:dyDescent="0.25">
      <c r="B23" s="199" t="s">
        <v>430</v>
      </c>
      <c r="C23" s="200"/>
      <c r="D23" s="4"/>
      <c r="E23" s="4"/>
      <c r="F23" s="4"/>
      <c r="G23" s="4"/>
      <c r="H23" s="4"/>
      <c r="I23" s="4"/>
      <c r="J23" s="100"/>
      <c r="K23" s="100"/>
      <c r="L23" s="191"/>
      <c r="M23" s="192"/>
      <c r="N23" s="103"/>
      <c r="O23" s="100"/>
      <c r="P23" s="4"/>
      <c r="Q23" s="4"/>
      <c r="S23" s="101" t="s">
        <v>317</v>
      </c>
      <c r="T23" s="45" t="s">
        <v>332</v>
      </c>
      <c r="U23" s="48"/>
      <c r="V23" s="48"/>
      <c r="W23" s="46">
        <v>2</v>
      </c>
      <c r="X23" s="47" t="s">
        <v>13</v>
      </c>
      <c r="Y23" s="48"/>
      <c r="Z23" s="46">
        <v>2</v>
      </c>
      <c r="AA23" s="47" t="s">
        <v>318</v>
      </c>
      <c r="AB23" s="46">
        <v>4</v>
      </c>
      <c r="AC23" s="48"/>
      <c r="AD23" s="48"/>
      <c r="AE23" s="48"/>
      <c r="AF23" s="47" t="s">
        <v>14</v>
      </c>
      <c r="AG23" s="48"/>
      <c r="AH23" s="48"/>
      <c r="AI23" s="48"/>
      <c r="AJ23" s="48"/>
    </row>
    <row r="24" spans="2:36" x14ac:dyDescent="0.25">
      <c r="B24" s="100"/>
      <c r="C24" s="100"/>
      <c r="D24" s="100"/>
      <c r="E24" s="100"/>
      <c r="F24" s="4"/>
      <c r="G24" s="4"/>
      <c r="H24" s="4"/>
      <c r="I24" s="4"/>
      <c r="J24" s="100"/>
      <c r="K24" s="100"/>
      <c r="L24" s="100"/>
      <c r="M24" s="100"/>
      <c r="N24" s="4"/>
      <c r="O24" s="4"/>
      <c r="P24" s="201" t="s">
        <v>434</v>
      </c>
      <c r="Q24" s="202"/>
      <c r="S24" s="101" t="s">
        <v>280</v>
      </c>
      <c r="T24" s="45" t="s">
        <v>321</v>
      </c>
      <c r="U24" s="46">
        <v>1</v>
      </c>
      <c r="V24" s="48"/>
      <c r="W24" s="46">
        <v>2</v>
      </c>
      <c r="X24" s="47" t="s">
        <v>13</v>
      </c>
      <c r="Y24" s="46">
        <v>1</v>
      </c>
      <c r="Z24" s="46">
        <v>4</v>
      </c>
      <c r="AA24" s="47" t="s">
        <v>387</v>
      </c>
      <c r="AB24" s="46">
        <v>4</v>
      </c>
      <c r="AC24" s="48"/>
      <c r="AD24" s="48"/>
      <c r="AE24" s="48"/>
      <c r="AF24" s="47" t="s">
        <v>38</v>
      </c>
      <c r="AG24" s="48"/>
      <c r="AH24" s="48"/>
      <c r="AI24" s="48"/>
      <c r="AJ24" s="48"/>
    </row>
    <row r="25" spans="2:36" x14ac:dyDescent="0.25">
      <c r="B25" s="4"/>
      <c r="C25" s="4"/>
      <c r="D25" s="1"/>
      <c r="E25" s="1"/>
      <c r="F25" s="25"/>
      <c r="G25" s="25"/>
      <c r="H25" s="24"/>
      <c r="I25" s="25"/>
      <c r="J25" s="23"/>
      <c r="K25" s="25"/>
      <c r="L25" s="100"/>
      <c r="M25" s="100"/>
      <c r="S25" s="101" t="s">
        <v>303</v>
      </c>
      <c r="T25" s="45" t="s">
        <v>337</v>
      </c>
      <c r="U25" s="46">
        <v>2</v>
      </c>
      <c r="V25" s="47" t="s">
        <v>25</v>
      </c>
      <c r="W25" s="46">
        <v>2</v>
      </c>
      <c r="X25" s="48"/>
      <c r="Y25" s="46">
        <v>1</v>
      </c>
      <c r="Z25" s="46">
        <v>5</v>
      </c>
      <c r="AA25" s="47" t="s">
        <v>394</v>
      </c>
      <c r="AB25" s="46">
        <v>4</v>
      </c>
      <c r="AC25" s="48"/>
      <c r="AD25" s="48"/>
      <c r="AE25" s="48"/>
      <c r="AF25" s="47" t="s">
        <v>50</v>
      </c>
      <c r="AG25" s="48"/>
      <c r="AH25" s="48"/>
      <c r="AI25" s="48"/>
      <c r="AJ25" s="48"/>
    </row>
    <row r="26" spans="2:36" x14ac:dyDescent="0.25">
      <c r="B26" s="120">
        <f>3+3+3+3+7+5</f>
        <v>24</v>
      </c>
      <c r="C26" s="120"/>
      <c r="D26" s="120">
        <f>3+3+3+3+10</f>
        <v>22</v>
      </c>
      <c r="E26" s="120"/>
      <c r="F26" s="120">
        <f>3+3+3+2+4+2+2</f>
        <v>19</v>
      </c>
      <c r="G26" s="120"/>
      <c r="H26" s="120">
        <f>4+2+4+5+5</f>
        <v>20</v>
      </c>
      <c r="I26" s="120"/>
      <c r="J26" s="120">
        <f>3+3+2+6+5</f>
        <v>19</v>
      </c>
      <c r="K26" s="120"/>
      <c r="L26" s="120">
        <f>3+3+2+4+3+3</f>
        <v>18</v>
      </c>
      <c r="M26" s="120"/>
      <c r="N26" s="242">
        <f>3+3+3+2+2+3+2</f>
        <v>18</v>
      </c>
      <c r="O26" s="242"/>
      <c r="P26" s="242">
        <f>3+3+3+2+3+3+2</f>
        <v>19</v>
      </c>
      <c r="Q26" s="242"/>
      <c r="S26" s="101" t="s">
        <v>356</v>
      </c>
      <c r="T26" s="45" t="s">
        <v>339</v>
      </c>
      <c r="U26" s="46">
        <v>2</v>
      </c>
      <c r="V26" s="47" t="s">
        <v>25</v>
      </c>
      <c r="W26" s="46">
        <v>1</v>
      </c>
      <c r="X26" s="48"/>
      <c r="Y26" s="46">
        <v>2</v>
      </c>
      <c r="Z26" s="46">
        <v>5</v>
      </c>
      <c r="AA26" s="47" t="s">
        <v>394</v>
      </c>
      <c r="AB26" s="46">
        <v>4</v>
      </c>
      <c r="AC26" s="48"/>
      <c r="AD26" s="48"/>
      <c r="AE26" s="48"/>
      <c r="AF26" s="47" t="s">
        <v>55</v>
      </c>
      <c r="AG26" s="48"/>
      <c r="AH26" s="48"/>
      <c r="AI26" s="48"/>
      <c r="AJ26" s="48"/>
    </row>
    <row r="27" spans="2:36" x14ac:dyDescent="0.25">
      <c r="S27" s="90" t="s">
        <v>283</v>
      </c>
      <c r="T27" s="40" t="s">
        <v>325</v>
      </c>
      <c r="U27" s="43"/>
      <c r="V27" s="43"/>
      <c r="W27" s="41">
        <v>2</v>
      </c>
      <c r="X27" s="42" t="s">
        <v>13</v>
      </c>
      <c r="Y27" s="41">
        <v>1</v>
      </c>
      <c r="Z27" s="41">
        <v>3</v>
      </c>
      <c r="AA27" s="42" t="s">
        <v>390</v>
      </c>
      <c r="AB27" s="41">
        <v>5</v>
      </c>
      <c r="AC27" s="43"/>
      <c r="AD27" s="43"/>
      <c r="AE27" s="43"/>
      <c r="AF27" s="43"/>
      <c r="AG27" s="42" t="s">
        <v>14</v>
      </c>
      <c r="AH27" s="43"/>
      <c r="AI27" s="43"/>
      <c r="AJ27" s="43"/>
    </row>
    <row r="28" spans="2:36" x14ac:dyDescent="0.25">
      <c r="B28" s="172" t="s">
        <v>456</v>
      </c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S28" s="90" t="s">
        <v>281</v>
      </c>
      <c r="T28" s="40" t="s">
        <v>323</v>
      </c>
      <c r="U28" s="41">
        <v>2</v>
      </c>
      <c r="V28" s="42" t="s">
        <v>10</v>
      </c>
      <c r="W28" s="43"/>
      <c r="X28" s="43"/>
      <c r="Y28" s="41">
        <v>1</v>
      </c>
      <c r="Z28" s="41">
        <v>3</v>
      </c>
      <c r="AA28" s="42" t="s">
        <v>388</v>
      </c>
      <c r="AB28" s="41">
        <v>5</v>
      </c>
      <c r="AC28" s="43"/>
      <c r="AD28" s="43"/>
      <c r="AE28" s="43"/>
      <c r="AF28" s="43"/>
      <c r="AG28" s="42" t="s">
        <v>11</v>
      </c>
      <c r="AH28" s="43"/>
      <c r="AI28" s="43"/>
      <c r="AJ28" s="43"/>
    </row>
    <row r="29" spans="2:36" x14ac:dyDescent="0.25">
      <c r="B29" s="172" t="s">
        <v>459</v>
      </c>
      <c r="C29" s="172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S29" s="90" t="s">
        <v>357</v>
      </c>
      <c r="T29" s="40" t="s">
        <v>323</v>
      </c>
      <c r="U29" s="43"/>
      <c r="V29" s="43"/>
      <c r="W29" s="41">
        <v>1</v>
      </c>
      <c r="X29" s="42" t="s">
        <v>13</v>
      </c>
      <c r="Y29" s="41">
        <v>1</v>
      </c>
      <c r="Z29" s="41">
        <v>2</v>
      </c>
      <c r="AA29" s="42" t="s">
        <v>7</v>
      </c>
      <c r="AB29" s="41">
        <v>5</v>
      </c>
      <c r="AC29" s="43"/>
      <c r="AD29" s="43"/>
      <c r="AE29" s="43"/>
      <c r="AF29" s="43"/>
      <c r="AG29" s="42" t="s">
        <v>124</v>
      </c>
      <c r="AH29" s="43"/>
      <c r="AI29" s="43"/>
      <c r="AJ29" s="43"/>
    </row>
    <row r="30" spans="2:36" x14ac:dyDescent="0.25">
      <c r="B30" s="172" t="s">
        <v>460</v>
      </c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S30" s="90" t="s">
        <v>351</v>
      </c>
      <c r="T30" s="40" t="s">
        <v>338</v>
      </c>
      <c r="U30" s="41">
        <v>2</v>
      </c>
      <c r="V30" s="42" t="s">
        <v>25</v>
      </c>
      <c r="W30" s="41">
        <v>2</v>
      </c>
      <c r="X30" s="43"/>
      <c r="Y30" s="41">
        <v>2</v>
      </c>
      <c r="Z30" s="41">
        <v>6</v>
      </c>
      <c r="AA30" s="42" t="s">
        <v>394</v>
      </c>
      <c r="AB30" s="41">
        <v>5</v>
      </c>
      <c r="AC30" s="43"/>
      <c r="AD30" s="43"/>
      <c r="AE30" s="43"/>
      <c r="AF30" s="43"/>
      <c r="AG30" s="42" t="s">
        <v>50</v>
      </c>
      <c r="AH30" s="43"/>
      <c r="AI30" s="43"/>
      <c r="AJ30" s="43"/>
    </row>
    <row r="31" spans="2:36" x14ac:dyDescent="0.25">
      <c r="B31" s="172" t="s">
        <v>465</v>
      </c>
      <c r="C31" s="172"/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S31" s="90" t="s">
        <v>361</v>
      </c>
      <c r="T31" s="40" t="s">
        <v>340</v>
      </c>
      <c r="U31" s="41">
        <v>2</v>
      </c>
      <c r="V31" s="42" t="s">
        <v>25</v>
      </c>
      <c r="W31" s="41">
        <v>1</v>
      </c>
      <c r="X31" s="43"/>
      <c r="Y31" s="41">
        <v>2</v>
      </c>
      <c r="Z31" s="41">
        <v>5</v>
      </c>
      <c r="AA31" s="42" t="s">
        <v>362</v>
      </c>
      <c r="AB31" s="41">
        <v>5</v>
      </c>
      <c r="AC31" s="43"/>
      <c r="AD31" s="43"/>
      <c r="AE31" s="43"/>
      <c r="AF31" s="43"/>
      <c r="AG31" s="42" t="s">
        <v>55</v>
      </c>
      <c r="AH31" s="43"/>
      <c r="AI31" s="43"/>
      <c r="AJ31" s="43"/>
    </row>
    <row r="32" spans="2:36" x14ac:dyDescent="0.25">
      <c r="B32" s="172" t="s">
        <v>457</v>
      </c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S32" s="101" t="s">
        <v>352</v>
      </c>
      <c r="T32" s="45" t="s">
        <v>81</v>
      </c>
      <c r="U32" s="46">
        <v>2</v>
      </c>
      <c r="V32" s="47" t="s">
        <v>10</v>
      </c>
      <c r="W32" s="48"/>
      <c r="X32" s="48"/>
      <c r="Y32" s="46">
        <v>1</v>
      </c>
      <c r="Z32" s="46">
        <v>3</v>
      </c>
      <c r="AA32" s="47" t="s">
        <v>407</v>
      </c>
      <c r="AB32" s="46">
        <v>6</v>
      </c>
      <c r="AC32" s="48"/>
      <c r="AD32" s="48"/>
      <c r="AE32" s="48"/>
      <c r="AF32" s="48"/>
      <c r="AG32" s="48"/>
      <c r="AH32" s="47" t="s">
        <v>11</v>
      </c>
      <c r="AI32" s="48"/>
      <c r="AJ32" s="48"/>
    </row>
    <row r="33" spans="2:36" x14ac:dyDescent="0.25">
      <c r="B33" s="172" t="s">
        <v>458</v>
      </c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S33" s="101" t="s">
        <v>293</v>
      </c>
      <c r="T33" s="45" t="s">
        <v>331</v>
      </c>
      <c r="U33" s="46">
        <v>2</v>
      </c>
      <c r="V33" s="47" t="s">
        <v>10</v>
      </c>
      <c r="W33" s="48"/>
      <c r="X33" s="48"/>
      <c r="Y33" s="46">
        <v>1</v>
      </c>
      <c r="Z33" s="46">
        <v>3</v>
      </c>
      <c r="AA33" s="47" t="s">
        <v>393</v>
      </c>
      <c r="AB33" s="46">
        <v>6</v>
      </c>
      <c r="AC33" s="48"/>
      <c r="AD33" s="48"/>
      <c r="AE33" s="48"/>
      <c r="AF33" s="48"/>
      <c r="AG33" s="48"/>
      <c r="AH33" s="47" t="s">
        <v>11</v>
      </c>
      <c r="AI33" s="48"/>
      <c r="AJ33" s="48"/>
    </row>
    <row r="34" spans="2:36" x14ac:dyDescent="0.25">
      <c r="B34" s="172" t="s">
        <v>461</v>
      </c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S34" s="101" t="s">
        <v>354</v>
      </c>
      <c r="T34" s="45" t="s">
        <v>331</v>
      </c>
      <c r="U34" s="48"/>
      <c r="V34" s="48"/>
      <c r="W34" s="46">
        <v>1</v>
      </c>
      <c r="X34" s="47" t="s">
        <v>13</v>
      </c>
      <c r="Y34" s="46">
        <v>1</v>
      </c>
      <c r="Z34" s="46">
        <v>2</v>
      </c>
      <c r="AA34" s="47" t="s">
        <v>7</v>
      </c>
      <c r="AB34" s="46">
        <v>6</v>
      </c>
      <c r="AC34" s="48"/>
      <c r="AD34" s="48"/>
      <c r="AE34" s="48"/>
      <c r="AF34" s="48"/>
      <c r="AG34" s="48"/>
      <c r="AH34" s="47" t="s">
        <v>124</v>
      </c>
      <c r="AI34" s="48"/>
      <c r="AJ34" s="48"/>
    </row>
    <row r="35" spans="2:36" x14ac:dyDescent="0.25">
      <c r="B35" s="172" t="s">
        <v>463</v>
      </c>
      <c r="C35" s="172"/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2"/>
      <c r="Q35" s="172"/>
      <c r="S35" s="101" t="s">
        <v>359</v>
      </c>
      <c r="T35" s="45" t="s">
        <v>341</v>
      </c>
      <c r="U35" s="46">
        <v>2</v>
      </c>
      <c r="V35" s="47" t="s">
        <v>25</v>
      </c>
      <c r="W35" s="46">
        <v>1</v>
      </c>
      <c r="X35" s="48"/>
      <c r="Y35" s="46">
        <v>1</v>
      </c>
      <c r="Z35" s="46">
        <v>4</v>
      </c>
      <c r="AA35" s="47" t="s">
        <v>360</v>
      </c>
      <c r="AB35" s="46">
        <v>6</v>
      </c>
      <c r="AC35" s="48"/>
      <c r="AD35" s="48"/>
      <c r="AE35" s="48"/>
      <c r="AF35" s="48"/>
      <c r="AG35" s="48"/>
      <c r="AH35" s="47" t="s">
        <v>55</v>
      </c>
      <c r="AI35" s="48"/>
      <c r="AJ35" s="48"/>
    </row>
    <row r="36" spans="2:36" x14ac:dyDescent="0.25">
      <c r="B36" s="193" t="s">
        <v>464</v>
      </c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S36" s="101" t="s">
        <v>282</v>
      </c>
      <c r="T36" s="45" t="s">
        <v>455</v>
      </c>
      <c r="U36" s="48"/>
      <c r="V36" s="48"/>
      <c r="W36" s="46">
        <v>2</v>
      </c>
      <c r="X36" s="47" t="s">
        <v>13</v>
      </c>
      <c r="Y36" s="46">
        <v>1</v>
      </c>
      <c r="Z36" s="46">
        <v>3</v>
      </c>
      <c r="AA36" s="47" t="s">
        <v>389</v>
      </c>
      <c r="AB36" s="46">
        <v>6</v>
      </c>
      <c r="AC36" s="48"/>
      <c r="AD36" s="48"/>
      <c r="AE36" s="48"/>
      <c r="AF36" s="48"/>
      <c r="AG36" s="48"/>
      <c r="AH36" s="47" t="s">
        <v>14</v>
      </c>
      <c r="AI36" s="48"/>
      <c r="AJ36" s="48"/>
    </row>
    <row r="37" spans="2:36" x14ac:dyDescent="0.25">
      <c r="B37" s="193"/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193"/>
      <c r="S37" s="101" t="s">
        <v>370</v>
      </c>
      <c r="T37" s="45" t="s">
        <v>348</v>
      </c>
      <c r="U37" s="46">
        <v>1</v>
      </c>
      <c r="V37" s="48"/>
      <c r="W37" s="46">
        <v>1</v>
      </c>
      <c r="X37" s="47" t="s">
        <v>13</v>
      </c>
      <c r="Y37" s="46">
        <v>1</v>
      </c>
      <c r="Z37" s="46">
        <v>3</v>
      </c>
      <c r="AA37" s="47" t="s">
        <v>371</v>
      </c>
      <c r="AB37" s="46">
        <v>6</v>
      </c>
      <c r="AC37" s="48"/>
      <c r="AD37" s="48"/>
      <c r="AE37" s="48"/>
      <c r="AF37" s="48"/>
      <c r="AG37" s="48"/>
      <c r="AH37" s="47" t="s">
        <v>58</v>
      </c>
      <c r="AI37" s="48"/>
      <c r="AJ37" s="48"/>
    </row>
    <row r="38" spans="2:36" x14ac:dyDescent="0.25">
      <c r="B38" s="172" t="s">
        <v>462</v>
      </c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S38" s="90" t="s">
        <v>306</v>
      </c>
      <c r="T38" s="40" t="s">
        <v>344</v>
      </c>
      <c r="U38" s="41">
        <v>2</v>
      </c>
      <c r="V38" s="42" t="s">
        <v>10</v>
      </c>
      <c r="W38" s="43"/>
      <c r="X38" s="43"/>
      <c r="Y38" s="41">
        <v>1</v>
      </c>
      <c r="Z38" s="41">
        <v>3</v>
      </c>
      <c r="AA38" s="42" t="s">
        <v>395</v>
      </c>
      <c r="AB38" s="41">
        <v>7</v>
      </c>
      <c r="AC38" s="43"/>
      <c r="AD38" s="43"/>
      <c r="AE38" s="43"/>
      <c r="AF38" s="43"/>
      <c r="AG38" s="43"/>
      <c r="AH38" s="43"/>
      <c r="AI38" s="42" t="s">
        <v>11</v>
      </c>
      <c r="AJ38" s="43"/>
    </row>
    <row r="39" spans="2:36" x14ac:dyDescent="0.25">
      <c r="B39" s="172" t="s">
        <v>537</v>
      </c>
      <c r="C39" s="172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S39" s="90" t="s">
        <v>307</v>
      </c>
      <c r="T39" s="40" t="s">
        <v>344</v>
      </c>
      <c r="U39" s="43"/>
      <c r="V39" s="43"/>
      <c r="W39" s="41">
        <v>2</v>
      </c>
      <c r="X39" s="42" t="s">
        <v>13</v>
      </c>
      <c r="Y39" s="41">
        <v>1</v>
      </c>
      <c r="Z39" s="41">
        <v>3</v>
      </c>
      <c r="AA39" s="42" t="s">
        <v>7</v>
      </c>
      <c r="AB39" s="41">
        <v>7</v>
      </c>
      <c r="AC39" s="43"/>
      <c r="AD39" s="43"/>
      <c r="AE39" s="43"/>
      <c r="AF39" s="43"/>
      <c r="AG39" s="43"/>
      <c r="AH39" s="43"/>
      <c r="AI39" s="42" t="s">
        <v>14</v>
      </c>
      <c r="AJ39" s="43"/>
    </row>
    <row r="40" spans="2:36" x14ac:dyDescent="0.25">
      <c r="S40" s="90" t="s">
        <v>298</v>
      </c>
      <c r="T40" s="40" t="s">
        <v>409</v>
      </c>
      <c r="U40" s="41">
        <v>2</v>
      </c>
      <c r="V40" s="42" t="s">
        <v>10</v>
      </c>
      <c r="W40" s="43"/>
      <c r="X40" s="43"/>
      <c r="Y40" s="41">
        <v>1</v>
      </c>
      <c r="Z40" s="41">
        <v>3</v>
      </c>
      <c r="AA40" s="42" t="s">
        <v>318</v>
      </c>
      <c r="AB40" s="41">
        <v>7</v>
      </c>
      <c r="AC40" s="43"/>
      <c r="AD40" s="43"/>
      <c r="AE40" s="43"/>
      <c r="AF40" s="43"/>
      <c r="AG40" s="43"/>
      <c r="AH40" s="43"/>
      <c r="AI40" s="42" t="s">
        <v>11</v>
      </c>
      <c r="AJ40" s="43"/>
    </row>
    <row r="41" spans="2:36" x14ac:dyDescent="0.25">
      <c r="S41" s="90" t="s">
        <v>367</v>
      </c>
      <c r="T41" s="40" t="s">
        <v>346</v>
      </c>
      <c r="U41" s="41">
        <v>1</v>
      </c>
      <c r="V41" s="42" t="s">
        <v>10</v>
      </c>
      <c r="W41" s="43"/>
      <c r="X41" s="43"/>
      <c r="Y41" s="41">
        <v>1</v>
      </c>
      <c r="Z41" s="41">
        <v>2</v>
      </c>
      <c r="AA41" s="42" t="s">
        <v>383</v>
      </c>
      <c r="AB41" s="41">
        <v>7</v>
      </c>
      <c r="AC41" s="43"/>
      <c r="AD41" s="43"/>
      <c r="AE41" s="43"/>
      <c r="AF41" s="43"/>
      <c r="AG41" s="43"/>
      <c r="AH41" s="43"/>
      <c r="AI41" s="42" t="s">
        <v>368</v>
      </c>
      <c r="AJ41" s="43"/>
    </row>
    <row r="42" spans="2:36" x14ac:dyDescent="0.25">
      <c r="S42" s="90" t="s">
        <v>309</v>
      </c>
      <c r="T42" s="40" t="s">
        <v>346</v>
      </c>
      <c r="U42" s="43"/>
      <c r="V42" s="43"/>
      <c r="W42" s="41">
        <v>2</v>
      </c>
      <c r="X42" s="42" t="s">
        <v>13</v>
      </c>
      <c r="Y42" s="43"/>
      <c r="Z42" s="41">
        <v>2</v>
      </c>
      <c r="AA42" s="42" t="s">
        <v>408</v>
      </c>
      <c r="AB42" s="41">
        <v>7</v>
      </c>
      <c r="AC42" s="43"/>
      <c r="AD42" s="43"/>
      <c r="AE42" s="43"/>
      <c r="AF42" s="43"/>
      <c r="AG42" s="43"/>
      <c r="AH42" s="43"/>
      <c r="AI42" s="42" t="s">
        <v>14</v>
      </c>
      <c r="AJ42" s="43"/>
    </row>
    <row r="43" spans="2:36" x14ac:dyDescent="0.25">
      <c r="S43" s="90" t="s">
        <v>291</v>
      </c>
      <c r="T43" s="40" t="s">
        <v>454</v>
      </c>
      <c r="U43" s="41">
        <v>2</v>
      </c>
      <c r="V43" s="42" t="s">
        <v>10</v>
      </c>
      <c r="W43" s="43"/>
      <c r="X43" s="43"/>
      <c r="Y43" s="41">
        <v>1</v>
      </c>
      <c r="Z43" s="41">
        <v>3</v>
      </c>
      <c r="AA43" s="42" t="s">
        <v>387</v>
      </c>
      <c r="AB43" s="41">
        <v>7</v>
      </c>
      <c r="AC43" s="43"/>
      <c r="AD43" s="43"/>
      <c r="AE43" s="43"/>
      <c r="AF43" s="43"/>
      <c r="AG43" s="43"/>
      <c r="AH43" s="43"/>
      <c r="AI43" s="42" t="s">
        <v>11</v>
      </c>
      <c r="AJ43" s="43"/>
    </row>
    <row r="44" spans="2:36" x14ac:dyDescent="0.25">
      <c r="S44" s="90" t="s">
        <v>292</v>
      </c>
      <c r="T44" s="40" t="s">
        <v>454</v>
      </c>
      <c r="U44" s="43"/>
      <c r="V44" s="43"/>
      <c r="W44" s="41">
        <v>1</v>
      </c>
      <c r="X44" s="42" t="s">
        <v>13</v>
      </c>
      <c r="Y44" s="41">
        <v>1</v>
      </c>
      <c r="Z44" s="41">
        <v>2</v>
      </c>
      <c r="AA44" s="42" t="s">
        <v>7</v>
      </c>
      <c r="AB44" s="41">
        <v>7</v>
      </c>
      <c r="AC44" s="43"/>
      <c r="AD44" s="43"/>
      <c r="AE44" s="43"/>
      <c r="AF44" s="43"/>
      <c r="AG44" s="43"/>
      <c r="AH44" s="43"/>
      <c r="AI44" s="42" t="s">
        <v>124</v>
      </c>
      <c r="AJ44" s="43"/>
    </row>
    <row r="45" spans="2:36" x14ac:dyDescent="0.25">
      <c r="S45" s="101" t="s">
        <v>308</v>
      </c>
      <c r="T45" s="45" t="s">
        <v>345</v>
      </c>
      <c r="U45" s="46">
        <v>2</v>
      </c>
      <c r="V45" s="47" t="s">
        <v>10</v>
      </c>
      <c r="W45" s="48"/>
      <c r="X45" s="48"/>
      <c r="Y45" s="46">
        <v>1</v>
      </c>
      <c r="Z45" s="46">
        <v>3</v>
      </c>
      <c r="AA45" s="47" t="s">
        <v>398</v>
      </c>
      <c r="AB45" s="46">
        <v>8</v>
      </c>
      <c r="AC45" s="48"/>
      <c r="AD45" s="48"/>
      <c r="AE45" s="48"/>
      <c r="AF45" s="48"/>
      <c r="AG45" s="48"/>
      <c r="AH45" s="48"/>
      <c r="AI45" s="48"/>
      <c r="AJ45" s="47" t="s">
        <v>11</v>
      </c>
    </row>
    <row r="46" spans="2:36" x14ac:dyDescent="0.25">
      <c r="S46" s="101" t="s">
        <v>309</v>
      </c>
      <c r="T46" s="45" t="s">
        <v>347</v>
      </c>
      <c r="U46" s="46">
        <v>2</v>
      </c>
      <c r="V46" s="47" t="s">
        <v>10</v>
      </c>
      <c r="W46" s="48"/>
      <c r="X46" s="48"/>
      <c r="Y46" s="46">
        <v>1</v>
      </c>
      <c r="Z46" s="46">
        <v>3</v>
      </c>
      <c r="AA46" s="47" t="s">
        <v>7</v>
      </c>
      <c r="AB46" s="46">
        <v>8</v>
      </c>
      <c r="AC46" s="48"/>
      <c r="AD46" s="48"/>
      <c r="AE46" s="48"/>
      <c r="AF46" s="48"/>
      <c r="AG46" s="48"/>
      <c r="AH46" s="48"/>
      <c r="AI46" s="48"/>
      <c r="AJ46" s="47" t="s">
        <v>11</v>
      </c>
    </row>
    <row r="47" spans="2:36" x14ac:dyDescent="0.25">
      <c r="S47" s="101" t="s">
        <v>305</v>
      </c>
      <c r="T47" s="50" t="s">
        <v>544</v>
      </c>
      <c r="U47" s="46">
        <v>2</v>
      </c>
      <c r="V47" s="47" t="s">
        <v>10</v>
      </c>
      <c r="W47" s="48"/>
      <c r="X47" s="48"/>
      <c r="Y47" s="46">
        <v>1</v>
      </c>
      <c r="Z47" s="46">
        <v>3</v>
      </c>
      <c r="AA47" s="47" t="s">
        <v>397</v>
      </c>
      <c r="AB47" s="46">
        <v>8</v>
      </c>
      <c r="AC47" s="48"/>
      <c r="AD47" s="48"/>
      <c r="AE47" s="48"/>
      <c r="AF47" s="48"/>
      <c r="AG47" s="48"/>
      <c r="AH47" s="48"/>
      <c r="AI47" s="48"/>
      <c r="AJ47" s="47" t="s">
        <v>11</v>
      </c>
    </row>
    <row r="48" spans="2:36" x14ac:dyDescent="0.25">
      <c r="S48" s="101" t="s">
        <v>363</v>
      </c>
      <c r="T48" s="50" t="s">
        <v>544</v>
      </c>
      <c r="U48" s="48"/>
      <c r="V48" s="48"/>
      <c r="W48" s="46">
        <v>1</v>
      </c>
      <c r="X48" s="47" t="s">
        <v>13</v>
      </c>
      <c r="Y48" s="46">
        <v>1</v>
      </c>
      <c r="Z48" s="46">
        <v>2</v>
      </c>
      <c r="AA48" s="47" t="s">
        <v>7</v>
      </c>
      <c r="AB48" s="46">
        <v>8</v>
      </c>
      <c r="AC48" s="48"/>
      <c r="AD48" s="48"/>
      <c r="AE48" s="48"/>
      <c r="AF48" s="48"/>
      <c r="AG48" s="48"/>
      <c r="AH48" s="48"/>
      <c r="AI48" s="48"/>
      <c r="AJ48" s="47" t="s">
        <v>124</v>
      </c>
    </row>
    <row r="49" spans="19:36" x14ac:dyDescent="0.25">
      <c r="S49" s="101" t="s">
        <v>365</v>
      </c>
      <c r="T49" s="45" t="s">
        <v>349</v>
      </c>
      <c r="U49" s="48"/>
      <c r="V49" s="48"/>
      <c r="W49" s="46">
        <v>2</v>
      </c>
      <c r="X49" s="47" t="s">
        <v>13</v>
      </c>
      <c r="Y49" s="46">
        <v>1</v>
      </c>
      <c r="Z49" s="46">
        <v>3</v>
      </c>
      <c r="AA49" s="47" t="s">
        <v>399</v>
      </c>
      <c r="AB49" s="46">
        <v>8</v>
      </c>
      <c r="AC49" s="48"/>
      <c r="AD49" s="48"/>
      <c r="AE49" s="48"/>
      <c r="AF49" s="48"/>
      <c r="AG49" s="48"/>
      <c r="AH49" s="48"/>
      <c r="AI49" s="48"/>
      <c r="AJ49" s="47" t="s">
        <v>14</v>
      </c>
    </row>
    <row r="50" spans="19:36" x14ac:dyDescent="0.25">
      <c r="S50" s="101" t="s">
        <v>304</v>
      </c>
      <c r="T50" s="45" t="s">
        <v>342</v>
      </c>
      <c r="U50" s="46">
        <v>2</v>
      </c>
      <c r="V50" s="47" t="s">
        <v>10</v>
      </c>
      <c r="W50" s="48"/>
      <c r="X50" s="48"/>
      <c r="Y50" s="46">
        <v>1</v>
      </c>
      <c r="Z50" s="46">
        <v>3</v>
      </c>
      <c r="AA50" s="47" t="s">
        <v>384</v>
      </c>
      <c r="AB50" s="46">
        <v>8</v>
      </c>
      <c r="AC50" s="48"/>
      <c r="AD50" s="48"/>
      <c r="AE50" s="48"/>
      <c r="AF50" s="48"/>
      <c r="AG50" s="48"/>
      <c r="AH50" s="48"/>
      <c r="AI50" s="48"/>
      <c r="AJ50" s="47" t="s">
        <v>11</v>
      </c>
    </row>
    <row r="51" spans="19:36" x14ac:dyDescent="0.25">
      <c r="S51" s="101" t="s">
        <v>369</v>
      </c>
      <c r="T51" s="45" t="s">
        <v>342</v>
      </c>
      <c r="U51" s="48"/>
      <c r="V51" s="48"/>
      <c r="W51" s="46">
        <v>1</v>
      </c>
      <c r="X51" s="47" t="s">
        <v>13</v>
      </c>
      <c r="Y51" s="46">
        <v>1</v>
      </c>
      <c r="Z51" s="46">
        <v>2</v>
      </c>
      <c r="AA51" s="47" t="s">
        <v>7</v>
      </c>
      <c r="AB51" s="46">
        <v>8</v>
      </c>
      <c r="AC51" s="48"/>
      <c r="AD51" s="48"/>
      <c r="AE51" s="48"/>
      <c r="AF51" s="48"/>
      <c r="AG51" s="48"/>
      <c r="AH51" s="48"/>
      <c r="AI51" s="48"/>
      <c r="AJ51" s="47" t="s">
        <v>124</v>
      </c>
    </row>
    <row r="52" spans="19:36" x14ac:dyDescent="0.25">
      <c r="S52" s="104"/>
      <c r="T52" s="39" t="s">
        <v>67</v>
      </c>
      <c r="U52" s="43"/>
      <c r="V52" s="43"/>
      <c r="W52" s="43"/>
      <c r="X52" s="43"/>
      <c r="Y52" s="43"/>
      <c r="Z52" s="43"/>
      <c r="AA52" s="43"/>
      <c r="AB52" s="43"/>
      <c r="AC52" s="42" t="s">
        <v>312</v>
      </c>
      <c r="AD52" s="42" t="s">
        <v>400</v>
      </c>
      <c r="AE52" s="42" t="s">
        <v>401</v>
      </c>
      <c r="AF52" s="42" t="s">
        <v>402</v>
      </c>
      <c r="AG52" s="42" t="s">
        <v>403</v>
      </c>
      <c r="AH52" s="42" t="s">
        <v>404</v>
      </c>
      <c r="AI52" s="42" t="s">
        <v>402</v>
      </c>
      <c r="AJ52" s="42" t="s">
        <v>405</v>
      </c>
    </row>
    <row r="53" spans="19:36" x14ac:dyDescent="0.25">
      <c r="S53" s="104"/>
      <c r="T53" s="39" t="s">
        <v>75</v>
      </c>
      <c r="U53" s="43"/>
      <c r="V53" s="43"/>
      <c r="W53" s="43"/>
      <c r="X53" s="43"/>
      <c r="Y53" s="43"/>
      <c r="Z53" s="41">
        <v>9</v>
      </c>
      <c r="AA53" s="43"/>
      <c r="AB53" s="42" t="s">
        <v>406</v>
      </c>
      <c r="AC53" s="43"/>
      <c r="AD53" s="43"/>
      <c r="AE53" s="43"/>
      <c r="AF53" s="43"/>
      <c r="AG53" s="43"/>
      <c r="AH53" s="41">
        <v>3</v>
      </c>
      <c r="AI53" s="41">
        <v>3</v>
      </c>
      <c r="AJ53" s="41">
        <v>3</v>
      </c>
    </row>
    <row r="54" spans="19:36" x14ac:dyDescent="0.25">
      <c r="S54" s="104"/>
      <c r="T54" s="39" t="s">
        <v>72</v>
      </c>
      <c r="U54" s="43"/>
      <c r="V54" s="43"/>
      <c r="W54" s="43"/>
      <c r="X54" s="43"/>
      <c r="Y54" s="43"/>
      <c r="Z54" s="41">
        <v>20</v>
      </c>
      <c r="AA54" s="43"/>
      <c r="AB54" s="96">
        <v>7.8</v>
      </c>
      <c r="AC54" s="43"/>
      <c r="AD54" s="43"/>
      <c r="AE54" s="43"/>
      <c r="AF54" s="43"/>
      <c r="AG54" s="43"/>
      <c r="AH54" s="43"/>
      <c r="AI54" s="41">
        <v>10</v>
      </c>
      <c r="AJ54" s="41">
        <v>10</v>
      </c>
    </row>
    <row r="55" spans="19:36" x14ac:dyDescent="0.25">
      <c r="S55" s="104"/>
      <c r="T55" s="39" t="s">
        <v>73</v>
      </c>
      <c r="U55" s="43"/>
      <c r="V55" s="43"/>
      <c r="W55" s="43"/>
      <c r="X55" s="43"/>
      <c r="Y55" s="43"/>
      <c r="Z55" s="43"/>
      <c r="AA55" s="43"/>
      <c r="AB55" s="43"/>
      <c r="AC55" s="41">
        <v>24</v>
      </c>
      <c r="AD55" s="41">
        <v>22</v>
      </c>
      <c r="AE55" s="41">
        <v>19</v>
      </c>
      <c r="AF55" s="41">
        <v>18</v>
      </c>
      <c r="AG55" s="41">
        <v>19</v>
      </c>
      <c r="AH55" s="41">
        <v>18</v>
      </c>
      <c r="AI55" s="41">
        <v>31</v>
      </c>
      <c r="AJ55" s="41">
        <v>29</v>
      </c>
    </row>
    <row r="56" spans="19:36" x14ac:dyDescent="0.25">
      <c r="S56" s="104"/>
      <c r="T56" s="39" t="s">
        <v>74</v>
      </c>
      <c r="U56" s="43"/>
      <c r="V56" s="43"/>
      <c r="W56" s="43"/>
      <c r="X56" s="43"/>
      <c r="Y56" s="43"/>
      <c r="Z56" s="41">
        <v>180</v>
      </c>
      <c r="AA56" s="43"/>
      <c r="AB56" s="43"/>
      <c r="AC56" s="43"/>
      <c r="AD56" s="43"/>
      <c r="AE56" s="43"/>
      <c r="AF56" s="43"/>
      <c r="AG56" s="43"/>
      <c r="AH56" s="43"/>
      <c r="AI56" s="43"/>
      <c r="AJ56" s="43"/>
    </row>
    <row r="57" spans="19:36" x14ac:dyDescent="0.25">
      <c r="S57" s="91" t="s">
        <v>374</v>
      </c>
      <c r="T57" s="105"/>
      <c r="U57" s="105"/>
      <c r="V57" s="105"/>
      <c r="W57" s="105"/>
      <c r="X57" s="105"/>
      <c r="Y57" s="105"/>
      <c r="Z57" s="105"/>
      <c r="AA57" s="92"/>
      <c r="AB57" s="105"/>
      <c r="AC57" s="105"/>
      <c r="AD57" s="105"/>
      <c r="AE57" s="105"/>
      <c r="AF57" s="105"/>
      <c r="AG57" s="105"/>
      <c r="AH57" s="105"/>
      <c r="AI57" s="105"/>
      <c r="AJ57" s="105"/>
    </row>
    <row r="58" spans="19:36" x14ac:dyDescent="0.25">
      <c r="S58" s="222" t="s">
        <v>375</v>
      </c>
      <c r="T58" s="222"/>
      <c r="U58" s="222"/>
      <c r="V58" s="222"/>
      <c r="W58" s="222"/>
      <c r="X58" s="222"/>
      <c r="Y58" s="222"/>
      <c r="Z58" s="222"/>
      <c r="AA58" s="222"/>
      <c r="AB58" s="222"/>
      <c r="AC58" s="222"/>
      <c r="AD58" s="222"/>
      <c r="AE58" s="222"/>
      <c r="AF58" s="222"/>
      <c r="AG58" s="222"/>
      <c r="AH58" s="222"/>
      <c r="AI58" s="222"/>
      <c r="AJ58" s="222"/>
    </row>
    <row r="59" spans="19:36" s="61" customFormat="1" x14ac:dyDescent="0.25">
      <c r="S59" s="243" t="s">
        <v>552</v>
      </c>
      <c r="T59" s="243"/>
      <c r="U59" s="243"/>
      <c r="V59" s="243"/>
      <c r="W59" s="243"/>
      <c r="X59" s="243"/>
      <c r="Y59" s="243"/>
      <c r="Z59" s="243"/>
      <c r="AA59" s="243"/>
      <c r="AB59" s="243"/>
      <c r="AC59" s="243"/>
      <c r="AD59" s="243"/>
      <c r="AE59" s="243"/>
      <c r="AF59" s="243"/>
      <c r="AG59" s="243"/>
      <c r="AH59" s="243"/>
      <c r="AI59" s="243"/>
      <c r="AJ59" s="243"/>
    </row>
    <row r="60" spans="19:36" s="61" customFormat="1" x14ac:dyDescent="0.25">
      <c r="S60" s="243" t="s">
        <v>553</v>
      </c>
      <c r="T60" s="243"/>
      <c r="U60" s="243"/>
      <c r="V60" s="243"/>
      <c r="W60" s="243"/>
      <c r="X60" s="243"/>
      <c r="Y60" s="243"/>
      <c r="Z60" s="243"/>
      <c r="AA60" s="243"/>
      <c r="AB60" s="243"/>
      <c r="AC60" s="243"/>
      <c r="AD60" s="243"/>
      <c r="AE60" s="243"/>
      <c r="AF60" s="243"/>
      <c r="AG60" s="243"/>
      <c r="AH60" s="243"/>
      <c r="AI60" s="243"/>
      <c r="AJ60" s="243"/>
    </row>
    <row r="61" spans="19:36" x14ac:dyDescent="0.25">
      <c r="S61" s="226">
        <v>41745.378472222219</v>
      </c>
      <c r="T61" s="226"/>
      <c r="U61" s="226"/>
      <c r="V61" s="226"/>
      <c r="W61" s="226"/>
      <c r="X61" s="226"/>
      <c r="Y61" s="226"/>
      <c r="Z61" s="226"/>
      <c r="AA61" s="226"/>
      <c r="AB61" s="226"/>
      <c r="AC61" s="226"/>
      <c r="AD61" s="226"/>
      <c r="AE61" s="226"/>
      <c r="AF61" s="226"/>
      <c r="AG61" s="226"/>
      <c r="AH61" s="226"/>
      <c r="AI61" s="226"/>
      <c r="AJ61" s="226"/>
    </row>
    <row r="62" spans="19:36" x14ac:dyDescent="0.25">
      <c r="S62" s="214" t="s">
        <v>554</v>
      </c>
      <c r="T62" s="193"/>
      <c r="U62" s="193"/>
      <c r="V62" s="193"/>
      <c r="W62" s="193"/>
      <c r="X62" s="193"/>
      <c r="Y62" s="193"/>
      <c r="Z62" s="193"/>
      <c r="AA62" s="193"/>
      <c r="AB62" s="193"/>
      <c r="AC62" s="193"/>
      <c r="AD62" s="193"/>
      <c r="AE62" s="193"/>
      <c r="AF62" s="193"/>
      <c r="AG62" s="193"/>
      <c r="AH62" s="193"/>
      <c r="AI62" s="193"/>
      <c r="AJ62" s="193"/>
    </row>
  </sheetData>
  <sortState ref="S3:AJ51">
    <sortCondition ref="AB3:AB51"/>
    <sortCondition ref="T3:T51"/>
  </sortState>
  <mergeCells count="72">
    <mergeCell ref="B33:Q33"/>
    <mergeCell ref="B34:Q34"/>
    <mergeCell ref="B35:Q35"/>
    <mergeCell ref="B36:Q36"/>
    <mergeCell ref="S62:AJ62"/>
    <mergeCell ref="S60:AJ60"/>
    <mergeCell ref="B37:Q37"/>
    <mergeCell ref="B38:Q38"/>
    <mergeCell ref="B39:Q39"/>
    <mergeCell ref="S58:AJ58"/>
    <mergeCell ref="S59:AJ59"/>
    <mergeCell ref="S61:AJ61"/>
    <mergeCell ref="B31:Q31"/>
    <mergeCell ref="B28:Q28"/>
    <mergeCell ref="B29:Q29"/>
    <mergeCell ref="B30:Q30"/>
    <mergeCell ref="B32:Q32"/>
    <mergeCell ref="P21:P22"/>
    <mergeCell ref="Q21:Q22"/>
    <mergeCell ref="L22:M23"/>
    <mergeCell ref="B23:C23"/>
    <mergeCell ref="B15:C22"/>
    <mergeCell ref="D15:E19"/>
    <mergeCell ref="F15:F16"/>
    <mergeCell ref="G15:G16"/>
    <mergeCell ref="N15:O15"/>
    <mergeCell ref="P16:Q16"/>
    <mergeCell ref="P17:Q17"/>
    <mergeCell ref="L19:M20"/>
    <mergeCell ref="H20:I22"/>
    <mergeCell ref="H17:I17"/>
    <mergeCell ref="J17:K17"/>
    <mergeCell ref="J18:K18"/>
    <mergeCell ref="P24:Q24"/>
    <mergeCell ref="B26:C26"/>
    <mergeCell ref="D26:E26"/>
    <mergeCell ref="F26:G26"/>
    <mergeCell ref="H26:I26"/>
    <mergeCell ref="J26:K26"/>
    <mergeCell ref="L26:M26"/>
    <mergeCell ref="N26:O26"/>
    <mergeCell ref="P26:Q26"/>
    <mergeCell ref="B11:B14"/>
    <mergeCell ref="C11:C14"/>
    <mergeCell ref="D11:D12"/>
    <mergeCell ref="E11:E12"/>
    <mergeCell ref="N9:O9"/>
    <mergeCell ref="N10:O10"/>
    <mergeCell ref="L12:L13"/>
    <mergeCell ref="M12:M13"/>
    <mergeCell ref="F13:F14"/>
    <mergeCell ref="L14:M14"/>
    <mergeCell ref="B8:B10"/>
    <mergeCell ref="C8:C10"/>
    <mergeCell ref="F11:G11"/>
    <mergeCell ref="S1:AJ1"/>
    <mergeCell ref="N3:O3"/>
    <mergeCell ref="P3:Q3"/>
    <mergeCell ref="D5:D7"/>
    <mergeCell ref="E5:E7"/>
    <mergeCell ref="F5:F6"/>
    <mergeCell ref="H5:I5"/>
    <mergeCell ref="J5:K5"/>
    <mergeCell ref="J7:J8"/>
    <mergeCell ref="K7:K8"/>
    <mergeCell ref="L3:M3"/>
    <mergeCell ref="L7:M8"/>
    <mergeCell ref="B3:C3"/>
    <mergeCell ref="D3:E3"/>
    <mergeCell ref="F3:G3"/>
    <mergeCell ref="H3:I3"/>
    <mergeCell ref="J3:K3"/>
  </mergeCells>
  <hyperlinks>
    <hyperlink ref="T10" r:id="rId1" display="http://www.inf.elte.hu/karunkrol/oktatas/tantervek/tematika/PTIBScABCTE/Analizis_1_E_hun.pdf" xr:uid="{00000000-0004-0000-0500-000000000000}"/>
    <hyperlink ref="T11" r:id="rId2" display="http://www.inf.elte.hu/karunkrol/oktatas/tantervek/tematika/PTIBScABCTE/Analizis_1_E_hun.pdf" xr:uid="{00000000-0004-0000-0500-000001000000}"/>
    <hyperlink ref="T17" r:id="rId3" display="http://www.inf.elte.hu/karunkrol/oktatas/tantervek/tematika/PTIBScABCTE/Analizis_2_E_hun.pdf" xr:uid="{00000000-0004-0000-0500-000002000000}"/>
    <hyperlink ref="T18" r:id="rId4" display="http://www.inf.elte.hu/karunkrol/oktatas/tantervek/tematika/PTIBScABCTE/Analizis_2_E_hun.pdf" xr:uid="{00000000-0004-0000-0500-000003000000}"/>
    <hyperlink ref="T24" r:id="rId5" display="http://www.inf.elte.hu/karunkrol/oktatas/tantervek/tematika/PTIBScABCTE/Analizis_3_BCE_hun.pdf" xr:uid="{00000000-0004-0000-0500-000004000000}"/>
    <hyperlink ref="T28" r:id="rId6" display="http://www.inf.elte.hu/karunkrol/oktatas/tantervek/tematika/PTIBScABCTE/Numerikus_modszerek_1_E_hun.pdf" xr:uid="{00000000-0004-0000-0500-000005000000}"/>
    <hyperlink ref="T29" r:id="rId7" display="http://www.inf.elte.hu/karunkrol/oktatas/tantervek/tematika/PTIBScABCTE/Numerikus_modszerek_1_E_hun.pdf" xr:uid="{00000000-0004-0000-0500-000006000000}"/>
    <hyperlink ref="T36" r:id="rId8" display="http://www.inf.elte.hu/karunkrol/oktatas/tantervek/tematika/PTIBScABCTE/Programcsomagok_numerikus_modszerekben_E_hun.pdf" xr:uid="{00000000-0004-0000-0500-000007000000}"/>
    <hyperlink ref="T27" r:id="rId9" display="http://www.inf.elte.hu/karunkrol/oktatas/tantervek/tematika/PTIBScABCTE/Modellek_es_algoritmusok_CE_hun.pdf" xr:uid="{00000000-0004-0000-0500-000008000000}"/>
    <hyperlink ref="T3" r:id="rId10" display="http://www.inf.elte.hu/karunkrol/oktatas/tantervek/tematika/PTIBScABCTE/Diszkret_matematika_1_E_hun.pdf" xr:uid="{00000000-0004-0000-0500-000009000000}"/>
    <hyperlink ref="T5" r:id="rId11" display="http://www.inf.elte.hu/karunkrol/oktatas/tantervek/tematika/PTIBScABCTE/Diszkret_matematika_1_E_hun.pdf" xr:uid="{00000000-0004-0000-0500-00000A000000}"/>
    <hyperlink ref="T12" r:id="rId12" display="http://www.inf.elte.hu/karunkrol/oktatas/tantervek/tematika/PTIBScABCTE/Diszkret_matematika_2_E_hun.pdf" xr:uid="{00000000-0004-0000-0500-00000B000000}"/>
    <hyperlink ref="T13" r:id="rId13" display="http://www.inf.elte.hu/karunkrol/oktatas/tantervek/tematika/PTIBScABCTE/Diszkret_matematika_2_E_hun.pdf" xr:uid="{00000000-0004-0000-0500-00000C000000}"/>
    <hyperlink ref="T19" r:id="rId14" display="http://www.inf.elte.hu/karunkrol/oktatas/tantervek/tematika/PTIBScABCTE/Diszkret_matematika_3_E_hun.pdf" xr:uid="{00000000-0004-0000-0500-00000D000000}"/>
    <hyperlink ref="T6" r:id="rId15" display="http://www.inf.elte.hu/karunkrol/oktatas/tantervek/tematika/PTIBScABCTE/Linearis_algebra_E_hun.pdf" xr:uid="{00000000-0004-0000-0500-00000E000000}"/>
    <hyperlink ref="T7" r:id="rId16" display="http://www.inf.elte.hu/karunkrol/oktatas/tantervek/tematika/PTIBScABCTE/Linearis_algebra_E_hun.pdf" xr:uid="{00000000-0004-0000-0500-00000F000000}"/>
    <hyperlink ref="T43" r:id="rId17" display="http://www.inf.elte.hu/karunkrol/oktatas/tantervek/tematika/PTIBScABCTE/Valoszinusegszamitas_es_statisztika_E_hun.pdf" xr:uid="{00000000-0004-0000-0500-000010000000}"/>
    <hyperlink ref="T44" r:id="rId18" display="http://www.inf.elte.hu/karunkrol/oktatas/tantervek/tematika/PTIBScABCTE/Valoszinusegszamitas_es_statisztika_E_hun.pdf" xr:uid="{00000000-0004-0000-0500-000011000000}"/>
    <hyperlink ref="T33" r:id="rId19" display="http://www.inf.elte.hu/karunkrol/oktatas/tantervek/tematika/PTIBScABCTE/Logika_es_szamitaselmelet_E_hun.pdf" xr:uid="{00000000-0004-0000-0500-000012000000}"/>
    <hyperlink ref="T34" r:id="rId20" display="http://www.inf.elte.hu/karunkrol/oktatas/tantervek/tematika/PTIBScABCTE/Logika_es_szamitaselmelet_E_hun.pdf" xr:uid="{00000000-0004-0000-0500-000013000000}"/>
    <hyperlink ref="T15" r:id="rId21" display="http://www.inf.elte.hu/karunkrol/oktatas/tantervek/tematika/PTIBScABCTE/Algoritmusok_es_adatszerkezetek_1_E_hun.pdf" xr:uid="{00000000-0004-0000-0500-000014000000}"/>
    <hyperlink ref="T16" r:id="rId22" display="http://www.inf.elte.hu/karunkrol/oktatas/tantervek/tematika/PTIBScABCTE/Algoritmusok_es_adatszerkezetek_1_E_hun.pdf" xr:uid="{00000000-0004-0000-0500-000015000000}"/>
    <hyperlink ref="T22" r:id="rId23" display="http://www.inf.elte.hu/karunkrol/oktatas/tantervek/tematika/PTIBScABCTE/Algoritmusok_es_adatszerkezetek_2_E_hun.pdf" xr:uid="{00000000-0004-0000-0500-000016000000}"/>
    <hyperlink ref="T20" r:id="rId24" display="http://www.inf.elte.hu/karunkrol/oktatas/tantervek/tematika/PTIBScABCTE/Formalis_nyelvek_es_automatak_ABCE_hun.pdf" xr:uid="{00000000-0004-0000-0500-000017000000}"/>
    <hyperlink ref="T21" r:id="rId25" display="http://www.inf.elte.hu/karunkrol/oktatas/tantervek/tematika/PTIBScABCTE/Formalis_nyelvek_es_automatak_ABCE_hun.pdf" xr:uid="{00000000-0004-0000-0500-000018000000}"/>
    <hyperlink ref="T40" r:id="rId26" display="http://www.inf.elte.hu/karunkrol/oktatas/tantervek/tematika/PTIBScABCTE/Mesterseges_intelligencia_ABCTE_hun.pdf" xr:uid="{00000000-0004-0000-0500-000019000000}"/>
    <hyperlink ref="T8" r:id="rId27" display="http://www.inf.elte.hu/karunkrol/oktatas/tantervek/tematika/PTIBScABCTE/Programozasi_alapismeretek_E_hun.pdf" xr:uid="{00000000-0004-0000-0500-00001A000000}"/>
    <hyperlink ref="T9" r:id="rId28" display="http://www.inf.elte.hu/karunkrol/oktatas/tantervek/tematika/PTIBScABCTE/Szamitogepes_alapismeretek_E_hun.pdf" xr:uid="{00000000-0004-0000-0500-00001B000000}"/>
    <hyperlink ref="T14" r:id="rId29" display="http://www.inf.elte.hu/karunkrol/oktatas/tantervek/tematika/PTIBScABCTE/Programozas_E_hun.pdf" xr:uid="{00000000-0004-0000-0500-00001C000000}"/>
    <hyperlink ref="T25" r:id="rId30" display="http://www.inf.elte.hu/karunkrol/oktatas/tantervek/tematika/PTIBScABCTE/Programozasi_nyelvek_(C)_BCTE_hun.pdf" xr:uid="{00000000-0004-0000-0500-00001D000000}"/>
    <hyperlink ref="T30" r:id="rId31" display="http://www.inf.elte.hu/karunkrol/oktatas/tantervek/tematika/PTIBScABCTE/Programozasi_nyelvek_(JAVA)_E_hun.pdf" xr:uid="{00000000-0004-0000-0500-00001E000000}"/>
    <hyperlink ref="T26" r:id="rId32" display="http://www.inf.elte.hu/karunkrol/oktatas/tantervek/tematika/PTIBScABCTE/Programozasi_technologia_1_E_hun.pdf" xr:uid="{00000000-0004-0000-0500-00001F000000}"/>
    <hyperlink ref="T31" r:id="rId33" display="http://www.inf.elte.hu/karunkrol/oktatas/tantervek/tematika/PTIBScABCTE/Programozasi_technologia_2_E_hun.pdf" xr:uid="{00000000-0004-0000-0500-000020000000}"/>
    <hyperlink ref="T32" r:id="rId34" display="http://www.inf.elte.hu/karunkrol/oktatas/tantervek/tematika/PTIBScABCTE/Forditoprogramok_E_hun.pdf" xr:uid="{00000000-0004-0000-0500-000021000000}"/>
    <hyperlink ref="T35" r:id="rId35" display="http://www.inf.elte.hu/karunkrol/oktatas/tantervek/tematika/PTIBScABCTE/Operacios_rendszerek_ABCE_hun.pdf" xr:uid="{00000000-0004-0000-0500-000022000000}"/>
    <hyperlink ref="T50" r:id="rId36" display="http://www.inf.elte.hu/karunkrol/oktatas/tantervek/tematika/PTIBScABCTE/Szamitogepes_halozatok_E_hun.pdf" xr:uid="{00000000-0004-0000-0500-000023000000}"/>
    <hyperlink ref="T51" r:id="rId37" display="http://www.inf.elte.hu/karunkrol/oktatas/tantervek/tematika/PTIBScABCTE/Szamitogepes_halozatok_E_hun.pdf" xr:uid="{00000000-0004-0000-0500-000024000000}"/>
    <hyperlink ref="T47" r:id="rId38" display="http://www.inf.elte.hu/karunkrol/oktatas/tantervek/tematika/PTIBScABCTE/Osztott_rendszerek_E_hun.pdf" xr:uid="{00000000-0004-0000-0500-000025000000}"/>
    <hyperlink ref="T48" r:id="rId39" display="http://www.inf.elte.hu/karunkrol/oktatas/tantervek/tematika/PTIBScABCTE/Osztott_rendszerek_E_hun.pdf" xr:uid="{00000000-0004-0000-0500-000026000000}"/>
    <hyperlink ref="T38" r:id="rId40" display="http://www.inf.elte.hu/karunkrol/oktatas/tantervek/tematika/PTIBScABCTE/Adatbazisok_1_E_hun.pdf" xr:uid="{00000000-0004-0000-0500-000027000000}"/>
    <hyperlink ref="T39" r:id="rId41" display="http://www.inf.elte.hu/karunkrol/oktatas/tantervek/tematika/PTIBScABCTE/Adatbazisok_1_E_hun.pdf" xr:uid="{00000000-0004-0000-0500-000028000000}"/>
    <hyperlink ref="T45" r:id="rId42" display="http://www.inf.elte.hu/karunkrol/oktatas/tantervek/tematika/PTIBScABCTE/Adatbazisok_2_E_hun.pdf" xr:uid="{00000000-0004-0000-0500-000029000000}"/>
    <hyperlink ref="T41" r:id="rId43" display="http://www.inf.elte.hu/karunkrol/oktatas/tantervek/tematika/PTIBScABCTE/Szamitogepes_grafika_E_hun.pdf" xr:uid="{00000000-0004-0000-0500-00002A000000}"/>
    <hyperlink ref="T42" r:id="rId44" display="http://www.inf.elte.hu/karunkrol/oktatas/tantervek/tematika/PTIBScABCTE/Szamitogepes_grafika_E_hun.pdf" xr:uid="{00000000-0004-0000-0500-00002B000000}"/>
    <hyperlink ref="T46" r:id="rId45" display="http://www.inf.elte.hu/karunkrol/oktatas/tantervek/tematika/PTIBScABCTE/Jogi_es_menedzsmentalapismeretek_ABC_hun.pdf" xr:uid="{00000000-0004-0000-0500-00002C000000}"/>
    <hyperlink ref="T23" r:id="rId46" display="http://www.inf.elte.hu/karunkrol/oktatas/tantervek/tematika/PTIBScABCTE/Algoritmusok_es_adatszerkezetek_2_E_hun.pdf" xr:uid="{00000000-0004-0000-0500-00002D000000}"/>
    <hyperlink ref="T49" r:id="rId47" display="http://www.inf.elte.hu/karunkrol/oktatas/tantervek/tematika/PTIBScABCTE/Projekteszkozok_C_hun.pdf" xr:uid="{00000000-0004-0000-0500-00002E000000}"/>
    <hyperlink ref="T37" r:id="rId48" display="http://www.inf.elte.hu/karunkrol/oktatas/tantervek/tematika/PTIBScABCTE/Webes_alkalmazasok_fejlesztese_B_hun.pdf" xr:uid="{00000000-0004-0000-0500-00002F000000}"/>
    <hyperlink ref="S62" r:id="rId49" xr:uid="{00000000-0004-0000-0500-00003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Ekvivalencia</vt:lpstr>
      <vt:lpstr>A</vt:lpstr>
      <vt:lpstr>B</vt:lpstr>
      <vt:lpstr>C</vt:lpstr>
      <vt:lpstr>E</vt:lpstr>
      <vt:lpstr>E (8 féléves)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Emese</dc:creator>
  <cp:lastModifiedBy>Emese</cp:lastModifiedBy>
  <cp:lastPrinted>2017-07-27T17:38:17Z</cp:lastPrinted>
  <dcterms:created xsi:type="dcterms:W3CDTF">2015-09-10T18:14:45Z</dcterms:created>
  <dcterms:modified xsi:type="dcterms:W3CDTF">2017-09-12T16:39:16Z</dcterms:modified>
</cp:coreProperties>
</file>